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Phase Plan" sheetId="4" state="visible" r:id="rId4"/>
    <sheet xmlns:r="http://schemas.openxmlformats.org/officeDocument/2006/relationships" name="Detailed Steps" sheetId="5" state="visible" r:id="rId5"/>
    <sheet xmlns:r="http://schemas.openxmlformats.org/officeDocument/2006/relationships" name="Hardware BOM" sheetId="6" state="visible" r:id="rId6"/>
    <sheet xmlns:r="http://schemas.openxmlformats.org/officeDocument/2006/relationships" name="Config Tracker" sheetId="7" state="visible" r:id="rId7"/>
    <sheet xmlns:r="http://schemas.openxmlformats.org/officeDocument/2006/relationships" name="Packet Protocol" sheetId="8" state="visible" r:id="rId8"/>
    <sheet xmlns:r="http://schemas.openxmlformats.org/officeDocument/2006/relationships" name="Routing &amp; Failover" sheetId="9" state="visible" r:id="rId9"/>
    <sheet xmlns:r="http://schemas.openxmlformats.org/officeDocument/2006/relationships" name="Simulation Plan" sheetId="10" state="visible" r:id="rId10"/>
    <sheet xmlns:r="http://schemas.openxmlformats.org/officeDocument/2006/relationships" name="Android App Plan" sheetId="11" state="visible" r:id="rId11"/>
    <sheet xmlns:r="http://schemas.openxmlformats.org/officeDocument/2006/relationships" name="Test Campaign" sheetId="12" state="visible" r:id="rId12"/>
    <sheet xmlns:r="http://schemas.openxmlformats.org/officeDocument/2006/relationships" name="Progress Tracker" sheetId="13" state="visible" r:id="rId13"/>
    <sheet xmlns:r="http://schemas.openxmlformats.org/officeDocument/2006/relationships" name="Issue Log" sheetId="14" state="visible" r:id="rId14"/>
    <sheet xmlns:r="http://schemas.openxmlformats.org/officeDocument/2006/relationships" name="Decision Log" sheetId="15" state="visible" r:id="rId15"/>
    <sheet xmlns:r="http://schemas.openxmlformats.org/officeDocument/2006/relationships" name="System Diagram" sheetId="16" state="visible" r:id="rId16"/>
    <sheet xmlns:r="http://schemas.openxmlformats.org/officeDocument/2006/relationships" name="Data Flow" sheetId="17" state="visible" r:id="rId17"/>
    <sheet xmlns:r="http://schemas.openxmlformats.org/officeDocument/2006/relationships" name="Codex GitHub Workflow" sheetId="18" state="visible" r:id="rId18"/>
    <sheet xmlns:r="http://schemas.openxmlformats.org/officeDocument/2006/relationships" name="Codex Task Prompts" sheetId="19" state="visible" r:id="rId19"/>
    <sheet xmlns:r="http://schemas.openxmlformats.org/officeDocument/2006/relationships" name="Repo Structure" sheetId="20" state="visible" r:id="rId20"/>
    <sheet xmlns:r="http://schemas.openxmlformats.org/officeDocument/2006/relationships" name="Codex CLI on Mac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rlito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color rgb="00166534"/>
      <sz val="11"/>
    </font>
    <font>
      <name val="Carlito"/>
      <b val="1"/>
      <color rgb="0092400E"/>
      <sz val="11"/>
    </font>
    <font>
      <name val="Carlito"/>
      <b val="1"/>
      <color rgb="00991B1B"/>
      <sz val="11"/>
    </font>
    <font>
      <name val="Carlito"/>
      <b val="1"/>
      <color rgb="00334155"/>
      <sz val="11"/>
    </font>
    <font>
      <name val="Carlito"/>
      <b val="1"/>
      <sz val="11"/>
    </font>
    <font>
      <name val="Carlito"/>
      <color rgb="00334155"/>
      <sz val="11"/>
    </font>
    <font>
      <name val="Carlito"/>
      <b val="1"/>
      <color rgb="00075985"/>
      <sz val="11"/>
    </font>
    <font>
      <name val="Carlito"/>
      <b val="1"/>
      <color rgb="00334155"/>
      <sz val="18"/>
    </font>
    <font>
      <name val="Carlito"/>
      <b val="1"/>
      <color rgb="00FFFFFF"/>
      <sz val="13"/>
    </font>
    <font>
      <name val="Carlito"/>
      <b val="1"/>
      <color rgb="00111827"/>
      <sz val="11"/>
    </font>
    <font>
      <name val="Carlito"/>
      <b val="1"/>
      <color rgb="009A3412"/>
      <sz val="11"/>
    </font>
    <font>
      <name val="Carlito"/>
      <b val="1"/>
      <color rgb="00FFFFFF"/>
      <sz val="14"/>
    </font>
    <font>
      <name val="Carlito"/>
      <b val="1"/>
      <color rgb="000B1F4D"/>
      <sz val="11"/>
    </font>
    <font>
      <name val="Carlito"/>
      <color rgb="007A4D00"/>
      <sz val="11"/>
    </font>
    <font>
      <b val="1"/>
    </font>
  </fonts>
  <fills count="2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0B2A61"/>
      </patternFill>
    </fill>
    <fill>
      <patternFill patternType="solid">
        <fgColor rgb="00EAF3FF"/>
      </patternFill>
    </fill>
    <fill>
      <patternFill patternType="solid">
        <fgColor rgb="00FFF7ED"/>
      </patternFill>
    </fill>
    <fill>
      <patternFill patternType="solid">
        <fgColor rgb="000B1F4D"/>
      </patternFill>
    </fill>
    <fill>
      <patternFill patternType="solid">
        <fgColor rgb="001D4ED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1">
    <border/>
    <border/>
    <border>
      <left>
        <color rgb="0064748B"/>
      </left>
      <right>
        <color rgb="00CBD5E1"/>
      </right>
      <top>
        <color rgb="0064748B"/>
      </top>
      <bottom>
        <color rgb="00CBD5E1"/>
      </bottom>
    </border>
    <border>
      <left>
        <color rgb="00CBD5E1"/>
      </left>
      <right>
        <color rgb="0064748B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64748B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64748B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</borders>
  <cellStyleXfs count="1">
    <xf numFmtId="0" fontId="0" fillId="0" borderId="1"/>
  </cellStyleXfs>
  <cellXfs count="2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wrapText="1"/>
    </xf>
    <xf numFmtId="0" fontId="7" fillId="10" borderId="0" applyAlignment="1" pivotButton="0" quotePrefix="0" xfId="0">
      <alignment horizont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horizontal="center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vertical="top" wrapText="1"/>
    </xf>
    <xf numFmtId="0" fontId="9" fillId="11" borderId="2" applyAlignment="1" pivotButton="0" quotePrefix="0" xfId="0">
      <alignment horizontal="center"/>
    </xf>
    <xf numFmtId="0" fontId="10" fillId="12" borderId="6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9" fillId="11" borderId="7" applyAlignment="1" pivotButton="0" quotePrefix="0" xfId="0">
      <alignment horizontal="center"/>
    </xf>
    <xf numFmtId="0" fontId="10" fillId="12" borderId="8" applyAlignment="1" pivotButton="0" quotePrefix="0" xfId="0">
      <alignment vertical="top" wrapText="1"/>
    </xf>
    <xf numFmtId="0" fontId="10" fillId="12" borderId="9" applyAlignment="1" pivotButton="0" quotePrefix="0" xfId="0">
      <alignment vertical="top" wrapText="1"/>
    </xf>
    <xf numFmtId="0" fontId="9" fillId="11" borderId="4" applyAlignment="1" pivotButton="0" quotePrefix="0" xfId="0">
      <alignment horizontal="center"/>
    </xf>
    <xf numFmtId="0" fontId="10" fillId="12" borderId="10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1" borderId="7" applyAlignment="1" pivotButton="0" quotePrefix="0" xfId="0">
      <alignment vertical="top" wrapText="1"/>
    </xf>
    <xf numFmtId="0" fontId="11" fillId="11" borderId="4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9" borderId="9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6" fillId="9" borderId="3" applyAlignment="1" pivotButton="0" quotePrefix="0" xfId="0">
      <alignment horizontal="center" vertical="top" wrapText="1"/>
    </xf>
    <xf numFmtId="0" fontId="6" fillId="9" borderId="9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4" fillId="7" borderId="7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10" fillId="12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1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center" vertical="top"/>
    </xf>
    <xf numFmtId="0" fontId="13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0" applyAlignment="1" pivotButton="0" quotePrefix="0" xfId="0">
      <alignment horizont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horizontal="left"/>
    </xf>
    <xf numFmtId="0" fontId="15" fillId="15" borderId="0" applyAlignment="1" pivotButton="0" quotePrefix="0" xfId="0">
      <alignment horizontal="left" vertical="center"/>
    </xf>
    <xf numFmtId="0" fontId="14" fillId="14" borderId="0" applyAlignment="1" pivotButton="0" quotePrefix="0" xfId="0">
      <alignment wrapText="1"/>
    </xf>
    <xf numFmtId="0" fontId="0" fillId="16" borderId="0" pivotButton="0" quotePrefix="0" xfId="0"/>
    <xf numFmtId="0" fontId="16" fillId="16" borderId="0" pivotButton="0" quotePrefix="0" xfId="0"/>
    <xf numFmtId="0" fontId="16" fillId="16" borderId="0" applyAlignment="1" pivotButton="0" quotePrefix="0" xfId="0">
      <alignment horizontal="center"/>
    </xf>
    <xf numFmtId="0" fontId="16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left"/>
    </xf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horizontal="center" wrapText="1"/>
    </xf>
    <xf numFmtId="0" fontId="17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1" fillId="16" borderId="0" applyAlignment="1" pivotButton="0" quotePrefix="0" xfId="0">
      <alignment horizontal="left" vertical="top"/>
    </xf>
    <xf numFmtId="0" fontId="0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top" wrapText="1"/>
    </xf>
    <xf numFmtId="0" fontId="14" fillId="14" borderId="0" applyAlignment="1" pivotButton="0" quotePrefix="0" xfId="0">
      <alignment vertical="top" wrapText="1"/>
    </xf>
    <xf numFmtId="0" fontId="13" fillId="20" borderId="0" applyAlignment="1" pivotButton="0" quotePrefix="0" xfId="0">
      <alignment horizontal="center" vertical="top" wrapText="1"/>
    </xf>
    <xf numFmtId="0" fontId="14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7" borderId="0" applyAlignment="1" pivotButton="0" quotePrefix="0" xfId="0">
      <alignment horizontal="left" vertical="top"/>
    </xf>
    <xf numFmtId="0" fontId="0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 wrapText="1"/>
    </xf>
    <xf numFmtId="0" fontId="16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17" fillId="3" borderId="0" pivotButton="0" quotePrefix="0" xfId="0"/>
    <xf numFmtId="0" fontId="17" fillId="3" borderId="0" applyAlignment="1" pivotButton="0" quotePrefix="0" xfId="0">
      <alignment wrapText="1"/>
    </xf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 wrapText="1"/>
    </xf>
    <xf numFmtId="0" fontId="16" fillId="21" borderId="0" applyAlignment="1" pivotButton="0" quotePrefix="0" xfId="0">
      <alignment horizontal="center" vertical="top" wrapText="1"/>
    </xf>
    <xf numFmtId="0" fontId="16" fillId="21" borderId="0" applyAlignment="1" pivotButton="0" quotePrefix="0" xfId="0">
      <alignment horizontal="left" vertical="top" wrapText="1"/>
    </xf>
    <xf numFmtId="0" fontId="16" fillId="21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6" fillId="21" borderId="0" pivotButton="0" quotePrefix="0" xfId="0"/>
    <xf numFmtId="0" fontId="16" fillId="21" borderId="0" applyAlignment="1" pivotButton="0" quotePrefix="0" xfId="0">
      <alignment horizontal="left"/>
    </xf>
    <xf numFmtId="0" fontId="1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0" applyAlignment="1" pivotButton="0" quotePrefix="0" xfId="0">
      <alignment wrapText="1"/>
    </xf>
    <xf numFmtId="0" fontId="3" fillId="23" borderId="0" applyAlignment="1" pivotButton="0" quotePrefix="0" xfId="0">
      <alignment horizontal="center" wrapText="1"/>
    </xf>
    <xf numFmtId="0" fontId="17" fillId="23" borderId="0" applyAlignment="1" pivotButton="0" quotePrefix="0" xfId="0">
      <alignment horizontal="center" vertical="top" wrapText="1"/>
    </xf>
    <xf numFmtId="0" fontId="0" fillId="21" borderId="0" applyAlignment="1" pivotButton="0" quotePrefix="0" xfId="0">
      <alignment vertical="top"/>
    </xf>
    <xf numFmtId="0" fontId="16" fillId="21" borderId="0" applyAlignment="1" pivotButton="0" quotePrefix="0" xfId="0">
      <alignment vertical="top"/>
    </xf>
    <xf numFmtId="0" fontId="16" fillId="21" borderId="0" applyAlignment="1" pivotButton="0" quotePrefix="0" xfId="0">
      <alignment horizontal="left" vertical="top"/>
    </xf>
    <xf numFmtId="0" fontId="0" fillId="23" borderId="0" applyAlignment="1" pivotButton="0" quotePrefix="0" xfId="0">
      <alignment vertical="top"/>
    </xf>
    <xf numFmtId="0" fontId="3" fillId="2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4" fillId="20" borderId="1" applyAlignment="1" pivotButton="0" quotePrefix="0" xfId="0">
      <alignment vertical="top" wrapText="1"/>
    </xf>
    <xf numFmtId="0" fontId="16" fillId="21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0" fillId="24" borderId="0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vertical="top" wrapText="1"/>
    </xf>
    <xf numFmtId="0" fontId="0" fillId="24" borderId="1" applyAlignment="1" pivotButton="0" quotePrefix="0" xfId="0">
      <alignment vertical="top" wrapText="1"/>
    </xf>
    <xf numFmtId="0" fontId="19" fillId="2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42" customWidth="1" style="51" min="2" max="2"/>
    <col width="42" customWidth="1" style="51" min="3" max="3"/>
    <col width="18" customWidth="1" style="51" min="4" max="4"/>
    <col width="18" customWidth="1" style="51" min="5" max="5"/>
    <col width="18" customWidth="1" style="51" min="6" max="6"/>
    <col width="22" customWidth="1" style="51" min="7" max="7"/>
    <col width="3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259" t="inlineStr">
        <is>
          <t>MANET Emergency Messaging Prototype - Dashboard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0" t="inlineStr">
        <is>
          <t>Total Steps</t>
        </is>
      </c>
      <c r="B3" s="258">
        <f>COUNTA('Detailed Steps'!A2:A200)</f>
        <v/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40" t="inlineStr">
        <is>
          <t>Done</t>
        </is>
      </c>
      <c r="B4" s="258">
        <f>COUNTIF('Detailed Steps'!F2:F200,"Done")</f>
        <v/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40" t="inlineStr">
        <is>
          <t>In Progress</t>
        </is>
      </c>
      <c r="B5" s="258">
        <f>COUNTIF('Detailed Steps'!F2:F200,"In Progress")</f>
        <v/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40" t="inlineStr">
        <is>
          <t>Blocked</t>
        </is>
      </c>
      <c r="B6" s="258">
        <f>COUNTIF('Detailed Steps'!F2:F200,"Blocked")</f>
        <v/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40" t="inlineStr">
        <is>
          <t>Not Started</t>
        </is>
      </c>
      <c r="B7" s="258">
        <f>COUNTIF('Detailed Steps'!F2:F200,"Not Started")</f>
        <v/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40" t="inlineStr">
        <is>
          <t>Completion</t>
        </is>
      </c>
      <c r="B8" s="260">
        <f>IF(B3=0,0,B4/B3)</f>
        <v/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40" t="inlineStr">
        <is>
          <t>Current Stage</t>
        </is>
      </c>
      <c r="B9" s="258">
        <f>IFERROR(INDEX('Detailed Steps'!B2:B200,MATCH("In Progress",'Detailed Steps'!F2:F200,0)),"Set first active step")</f>
        <v/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40" t="inlineStr">
        <is>
          <t>Next Action</t>
        </is>
      </c>
      <c r="B10" s="258">
        <f>IFERROR(INDEX('Detailed Steps'!D2:D200,MATCH("In Progress",'Detailed Steps'!F2:F200,0)),"Mark next step In Progress")</f>
        <v/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46" t="inlineStr">
        <is>
          <t>Recommended Current Architecture</t>
        </is>
      </c>
      <c r="B12" s="1" t="n"/>
      <c r="C12" s="1" t="n"/>
      <c r="D12" s="1" t="n"/>
      <c r="E12" s="1" t="n"/>
      <c r="F12" s="1" t="n"/>
      <c r="G12" s="1" t="n"/>
      <c r="H12" s="1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42" t="inlineStr">
        <is>
          <t>Layer</t>
        </is>
      </c>
      <c r="B13" s="42" t="inlineStr">
        <is>
          <t>Recommended Implementation</t>
        </is>
      </c>
      <c r="C13" s="42" t="inlineStr">
        <is>
          <t>Reason</t>
        </is>
      </c>
      <c r="D13" s="42" t="inlineStr">
        <is>
          <t>Status</t>
        </is>
      </c>
      <c r="E13" s="42" t="inlineStr">
        <is>
          <t>Owner</t>
        </is>
      </c>
      <c r="F13" s="42" t="inlineStr">
        <is>
          <t>Date</t>
        </is>
      </c>
      <c r="G13" s="42" t="inlineStr">
        <is>
          <t>Evidence</t>
        </is>
      </c>
      <c r="H13" s="42" t="inlineStr">
        <is>
          <t>Notes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inlineStr">
        <is>
          <t>User App</t>
        </is>
      </c>
      <c r="B14" s="258" t="inlineStr">
        <is>
          <t>Android app demo APK with Bluetooth-to-ESP32 typed-message flow</t>
        </is>
      </c>
      <c r="C14" s="258" t="inlineStr">
        <is>
          <t>Supports current client demo without adding future GSM/broadcast scope</t>
        </is>
      </c>
      <c r="D14" s="258" t="inlineStr">
        <is>
          <t>Demo APK Ready</t>
        </is>
      </c>
      <c r="E14" s="258" t="inlineStr">
        <is>
          <t>Codex/User</t>
        </is>
      </c>
      <c r="F14" s="258" t="inlineStr">
        <is>
          <t>2026-05-13</t>
        </is>
      </c>
      <c r="G14" s="258" t="inlineStr">
        <is>
          <t>PUP-MANET-Messenger-Step023-Demo-debug.apk; physical phone-to-phone demo screenshots; commit 03d4cb0</t>
        </is>
      </c>
      <c r="H14" s="258" t="inlineStr">
        <is>
          <t>Demo validated addressed messaging over Bluetooth + ESP32 + LoRa. GSM and broadcast remain future workbook steps.</t>
        </is>
      </c>
      <c r="I14" s="258" t="n"/>
      <c r="J14" s="258" t="n"/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8" t="n"/>
      <c r="Y14" s="258" t="n"/>
      <c r="Z14" s="258" t="n"/>
    </row>
    <row r="15">
      <c r="A15" s="261" t="inlineStr">
        <is>
          <t>Gateway</t>
        </is>
      </c>
      <c r="B15" s="261" t="inlineStr">
        <is>
          <t>Raspberry Pi 3B + directly wired LoRa module</t>
        </is>
      </c>
      <c r="C15" s="261" t="inlineStr">
        <is>
          <t>Matches user choice and enables local routing/failover logic</t>
        </is>
      </c>
      <c r="D15" s="261" t="inlineStr">
        <is>
          <t>Simulation Complete</t>
        </is>
      </c>
      <c r="E15" s="261" t="str"/>
      <c r="F15" s="261" t="inlineStr">
        <is>
          <t>2026-05-12</t>
        </is>
      </c>
      <c r="G15" s="261" t="inlineStr">
        <is>
          <t>rpi-gateway simulator tests passed; commit 6bea5a5</t>
        </is>
      </c>
      <c r="H15" s="261" t="inlineStr">
        <is>
          <t>Raspberry Pi SPI hardware integration remains later step.</t>
        </is>
      </c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inlineStr">
        <is>
          <t>MANET Node</t>
        </is>
      </c>
      <c r="B16" s="258" t="inlineStr">
        <is>
          <t>ESP32 + SX1278 Ra-02 433 MHz</t>
        </is>
      </c>
      <c r="C16" s="258" t="inlineStr">
        <is>
          <t>Available hardware; good for prototype</t>
        </is>
      </c>
      <c r="D16" s="258" t="inlineStr">
        <is>
          <t>Planned</t>
        </is>
      </c>
      <c r="E16" s="258" t="str"/>
      <c r="F16" s="258" t="str"/>
      <c r="G16" s="258" t="str"/>
      <c r="H16" s="258" t="str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Satellite Simulation</t>
        </is>
      </c>
      <c r="B17" s="258" t="inlineStr">
        <is>
          <t>Two 2.4 GHz WiFi routers connected wirelessly; latency simulated on Pi</t>
        </is>
      </c>
      <c r="C17" s="258" t="inlineStr">
        <is>
          <t>Practical simulation of LEO path without Starlink</t>
        </is>
      </c>
      <c r="D17" s="258" t="inlineStr">
        <is>
          <t>Planned</t>
        </is>
      </c>
      <c r="E17" s="258" t="str"/>
      <c r="F17" s="258" t="str"/>
      <c r="G17" s="258" t="str"/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62" t="inlineStr">
        <is>
          <t>CURRENT DEVELOPMENT WORKFLOW UPDATE</t>
        </is>
      </c>
      <c r="B18" s="1" t="n"/>
      <c r="C18" s="1" t="n"/>
      <c r="D18" s="1" t="n"/>
      <c r="E18" s="1" t="n"/>
      <c r="F18" s="1" t="n"/>
      <c r="G18" s="1" t="n"/>
      <c r="H18" s="1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197" t="inlineStr">
        <is>
          <t>Workflow</t>
        </is>
      </c>
      <c r="B19" s="258" t="inlineStr">
        <is>
          <t>Codex + GitHub + Workbook tracking</t>
        </is>
      </c>
      <c r="C19" s="258" t="str"/>
      <c r="D19" s="258" t="str"/>
      <c r="E19" s="197" t="inlineStr">
        <is>
          <t>Active Constraint</t>
        </is>
      </c>
      <c r="F19" s="258" t="inlineStr">
        <is>
          <t>One workbook step per Codex task</t>
        </is>
      </c>
      <c r="G19" s="258" t="str"/>
      <c r="H19" s="258" t="str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63" t="inlineStr">
        <is>
          <t>Local Tool</t>
        </is>
      </c>
      <c r="B20" s="1" t="n"/>
      <c r="C20" s="1" t="n"/>
      <c r="D20" s="1" t="n"/>
      <c r="E20" s="1" t="n"/>
      <c r="F20" s="1" t="n"/>
      <c r="G20" s="1" t="n"/>
      <c r="H20" s="1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64" t="inlineStr">
        <is>
          <t>Next Step</t>
        </is>
      </c>
      <c r="B21" s="1" t="n"/>
      <c r="C21" s="1" t="n"/>
      <c r="D21" s="1" t="n"/>
      <c r="E21" s="1" t="n"/>
      <c r="F21" s="1" t="n"/>
      <c r="G21" s="1" t="n"/>
      <c r="H21" s="1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197" t="inlineStr">
        <is>
          <t>Workbook Rule</t>
        </is>
      </c>
      <c r="B23" s="258" t="inlineStr">
        <is>
          <t>Update this workbook and commit it after every completed step</t>
        </is>
      </c>
      <c r="C23" s="258" t="str"/>
      <c r="D23" s="258" t="str"/>
      <c r="E23" s="197" t="inlineStr">
        <is>
          <t>Status</t>
        </is>
      </c>
      <c r="F23" s="258" t="inlineStr">
        <is>
          <t>Not Started</t>
        </is>
      </c>
      <c r="G23" s="258" t="str"/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42" t="inlineStr">
        <is>
          <t>Workflow Update</t>
        </is>
      </c>
      <c r="B25" s="242" t="inlineStr">
        <is>
          <t>Primary Tool</t>
        </is>
      </c>
      <c r="C25" s="242" t="inlineStr">
        <is>
          <t>Secondary Tool</t>
        </is>
      </c>
      <c r="D25" s="242" t="inlineStr">
        <is>
          <t>Code Source</t>
        </is>
      </c>
      <c r="E25" s="242" t="inlineStr">
        <is>
          <t>Tracker</t>
        </is>
      </c>
      <c r="F25" s="242" t="inlineStr">
        <is>
          <t>VS Code Role</t>
        </is>
      </c>
      <c r="G25" s="242" t="inlineStr">
        <is>
          <t>Next Step</t>
        </is>
      </c>
      <c r="H25" s="242" t="inlineStr">
        <is>
          <t>Status</t>
        </is>
      </c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inlineStr">
        <is>
          <t>2026-05-05</t>
        </is>
      </c>
      <c r="B26" s="258" t="inlineStr">
        <is>
          <t>Codex Web</t>
        </is>
      </c>
      <c r="C26" s="258" t="inlineStr">
        <is>
          <t>Codex CLI on Mac</t>
        </is>
      </c>
      <c r="D26" s="258" t="inlineStr">
        <is>
          <t>GitHub</t>
        </is>
      </c>
      <c r="E26" s="258" t="inlineStr">
        <is>
          <t>Workbook</t>
        </is>
      </c>
      <c r="F26" s="258" t="inlineStr">
        <is>
          <t>Optional only</t>
        </is>
      </c>
      <c r="G26" s="258" t="inlineStr">
        <is>
          <t>Create GitHub repo baseline</t>
        </is>
      </c>
      <c r="H26" s="258" t="inlineStr">
        <is>
          <t>Ready</t>
        </is>
      </c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2:H12"/>
    <mergeCell ref="A18:H18"/>
    <mergeCell ref="A20:H20"/>
    <mergeCell ref="A1:H1"/>
    <mergeCell ref="A21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80" customWidth="1" style="51" min="2" max="2"/>
  </cols>
  <sheetData>
    <row r="1">
      <c r="A1" s="265" t="inlineStr">
        <is>
          <t>PUP MANET Emergency Messaging Workbook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38" t="inlineStr">
        <is>
          <t>Primary development workflow</t>
        </is>
      </c>
      <c r="B3" s="258" t="inlineStr">
        <is>
          <t>Codex Web + GitHub pull requests. VS Code is optional and no longer required for the main workflow.</t>
        </is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38" t="inlineStr">
        <is>
          <t>Local development workflow</t>
        </is>
      </c>
      <c r="B4" s="258" t="inlineStr">
        <is>
          <t>Codex CLI on MacBook Pro M1 Max for local review, repo edits, build checks, and troubleshooting.</t>
        </is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38" t="inlineStr">
        <is>
          <t>Repository source of truth</t>
        </is>
      </c>
      <c r="B5" s="258" t="inlineStr">
        <is>
          <t>GitHub repository: pup-manet-emergency-messaging</t>
        </is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38" t="inlineStr">
        <is>
          <t>Workbook source of truth</t>
        </is>
      </c>
      <c r="B6" s="258" t="inlineStr">
        <is>
          <t>This workbook remains the project tracker. It must be updated after each completed Codex task and hardware validation step.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38" t="inlineStr">
        <is>
          <t>Development order</t>
        </is>
      </c>
      <c r="B7" s="258" t="inlineStr">
        <is>
          <t>ESP32 PlatformIO simulation -&gt; ESP32 LoRa/Bluetooth -&gt; Raspberry Pi gateway simulation -&gt; Raspberry Pi LoRa/WiFi router link -&gt; Android messaging app -&gt; integrated testing.</t>
        </is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38" t="inlineStr">
        <is>
          <t>Test priority</t>
        </is>
      </c>
      <c r="B8" s="258" t="inlineStr">
        <is>
          <t>All implementation must satisfy DOCX test procedures first: baseline, degradation detection, failover, sustained operation, and recovery.</t>
        </is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38" t="inlineStr">
        <is>
          <t>Hardware testing note</t>
        </is>
      </c>
      <c r="B9" s="258" t="inlineStr">
        <is>
          <t>Codex can create and test code logic, but physical LoRa, Bluetooth, WiFi router, and GSM validation must be performed by the user and recorded in this workbook.</t>
        </is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38" t="inlineStr">
        <is>
          <t>Update date</t>
        </is>
      </c>
      <c r="B10" s="266" t="n">
        <v>46147</v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38" t="inlineStr">
        <is>
          <t>Current workflow decision</t>
        </is>
      </c>
      <c r="B11" s="258" t="inlineStr">
        <is>
          <t>Proceed with Codex-only workflow: Codex Web as primary, Codex CLI as secondary/local, GitHub as code storage, workbook as status control.</t>
        </is>
      </c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42" customWidth="1" style="51" min="2" max="2"/>
    <col width="45" customWidth="1" style="51" min="3" max="3"/>
    <col width="18" customWidth="1" style="51" min="4" max="4"/>
    <col width="15" customWidth="1" style="51" min="5" max="5"/>
    <col width="18" customWidth="1" style="51" min="6" max="6"/>
    <col width="16" customWidth="1" style="51" min="7" max="7"/>
    <col width="24" customWidth="1" style="51" min="8" max="8"/>
  </cols>
  <sheetData>
    <row r="1">
      <c r="A1" s="267" t="inlineStr">
        <is>
          <t>PUP MANET Test-Aligned Architecture Summary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Item</t>
        </is>
      </c>
      <c r="B3" s="169" t="inlineStr">
        <is>
          <t>Updated Test-Aligned Decision</t>
        </is>
      </c>
      <c r="C3" s="169" t="inlineStr">
        <is>
          <t>Reason / Acceptance Link</t>
        </is>
      </c>
      <c r="D3" s="169" t="inlineStr">
        <is>
          <t>Status</t>
        </is>
      </c>
      <c r="E3" s="169" t="inlineStr">
        <is>
          <t>Owner</t>
        </is>
      </c>
      <c r="F3" s="169" t="inlineStr">
        <is>
          <t>Evidence</t>
        </is>
      </c>
      <c r="G3" s="169" t="inlineStr">
        <is>
          <t>Date Completed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Primary validated path</t>
        </is>
      </c>
      <c r="B4" t="inlineStr">
        <is>
          <t>Android App → Bluetooth → ESP32 LoRa Node → LoRa MANET → Raspberry Pi Gateway → WiFi-router simulated satellite → Remote Gateway → LoRa MANET → Bluetooth → Android App</t>
        </is>
      </c>
      <c r="C4" t="inlineStr">
        <is>
          <t>Directly exercises baseline, failover, store-forward, recovery, and end-to-end delivery tests.</t>
        </is>
      </c>
      <c r="D4" t="inlineStr">
        <is>
          <t>Approved for Phase 1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Node pairing</t>
        </is>
      </c>
      <c r="B5" t="inlineStr">
        <is>
          <t>Each MANET node is paired to one Android phone over Bluetooth.</t>
        </is>
      </c>
      <c r="C5" t="inlineStr">
        <is>
          <t>Ensures Android messaging app can still inject messages to LoRa when WiFi/GSM are unavailable.</t>
        </is>
      </c>
      <c r="D5" t="inlineStr">
        <is>
          <t>Approved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network selection</t>
        </is>
      </c>
      <c r="B6" t="inlineStr">
        <is>
          <t>Android app shall support Auto, LoRa, WiFi, and GSM selection.</t>
        </is>
      </c>
      <c r="C6" t="inlineStr">
        <is>
          <t>Extra feature allowed but must not interfere with DOCX validation path.</t>
        </is>
      </c>
      <c r="D6" t="inlineStr">
        <is>
          <t>Approved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Auto mode behavior</t>
        </is>
      </c>
      <c r="B7" t="inlineStr">
        <is>
          <t>Auto mode checks WiFi, GSM, and Bluetooth/LoRa availability, then selects best available route.</t>
        </is>
      </c>
      <c r="C7" t="inlineStr">
        <is>
          <t>Allows failover decisions while preserving manual test control.</t>
        </is>
      </c>
      <c r="D7" t="inlineStr">
        <is>
          <t>Approved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Failover trigger</t>
        </is>
      </c>
      <c r="B8" t="inlineStr">
        <is>
          <t>RSSI below -78 dBm for 10 seconds OR route/ACK timeout triggers failover to simulated satellite path.</t>
        </is>
      </c>
      <c r="C8" t="inlineStr">
        <is>
          <t>Matches network degradation and failover activation procedures.</t>
        </is>
      </c>
      <c r="D8" t="inlineStr">
        <is>
          <t>Approved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Recovery trigger</t>
        </is>
      </c>
      <c r="B9" t="inlineStr">
        <is>
          <t>Primary MANET route stable for 10 seconds triggers return to MANET; target switchback ≤5 seconds.</t>
        </is>
      </c>
      <c r="C9" t="inlineStr">
        <is>
          <t>Matches recovery/reversion test procedure.</t>
        </is>
      </c>
      <c r="D9" t="inlineStr">
        <is>
          <t>Approved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1" t="inlineStr">
        <is>
          <t>Message not found locally</t>
        </is>
      </c>
      <c r="B10" s="1" t="n"/>
      <c r="C10" s="1" t="n"/>
      <c r="D10" s="1" t="n"/>
      <c r="E10" s="1" t="n"/>
      <c r="F10" s="1" t="n"/>
      <c r="G10" s="1" t="n"/>
      <c r="H10" s="1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Simulation first</t>
        </is>
      </c>
      <c r="B11" s="1" t="inlineStr">
        <is>
          <t>All code shall include simulation mode before physical LoRa validation.</t>
        </is>
      </c>
      <c r="C11" s="1" t="n"/>
      <c r="D11" s="1" t="n"/>
      <c r="E11" s="1" t="n"/>
      <c r="F11" s="1" t="n"/>
      <c r="G11" s="1" t="n"/>
      <c r="H11" s="1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B12" s="1" t="n"/>
      <c r="C12" s="1" t="n"/>
      <c r="D12" s="1" t="n"/>
      <c r="E12" s="1" t="n"/>
      <c r="F12" s="1" t="n"/>
      <c r="G12" s="1" t="n"/>
      <c r="H12" s="1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132" t="inlineStr">
        <is>
          <t>Development Order</t>
        </is>
      </c>
      <c r="B13" s="122" t="inlineStr">
        <is>
          <t>Simulation → ESP32 PlatformIO code → Raspberry Pi gateway code → Android chat app.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:H1"/>
    <mergeCell ref="B13:H13"/>
    <mergeCell ref="B12:H12"/>
    <mergeCell ref="A10:H10"/>
    <mergeCell ref="B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28" customWidth="1" style="51" min="2" max="2"/>
    <col width="18" customWidth="1" style="51" min="3" max="3"/>
    <col width="24" customWidth="1" style="51" min="4" max="4"/>
    <col width="18" customWidth="1" style="51" min="5" max="5"/>
    <col width="26" customWidth="1" style="51" min="6" max="6"/>
    <col width="34" customWidth="1" style="51" min="7" max="7"/>
    <col width="34" customWidth="1" style="51" min="8" max="8"/>
    <col width="14" customWidth="1" style="51" min="9" max="9"/>
  </cols>
  <sheetData>
    <row r="1">
      <c r="A1" s="268" t="inlineStr">
        <is>
          <t>STAGED IMPLEMENTATION PLAN — CODEX + GITHUB WORKFLOW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91" t="inlineStr">
        <is>
          <t>Phase</t>
        </is>
      </c>
      <c r="B3" s="191" t="inlineStr">
        <is>
          <t>Name</t>
        </is>
      </c>
      <c r="C3" s="191" t="inlineStr">
        <is>
          <t>Goal</t>
        </is>
      </c>
      <c r="D3" s="191" t="inlineStr">
        <is>
          <t>Primary Output</t>
        </is>
      </c>
      <c r="E3" s="191" t="inlineStr">
        <is>
          <t>Entry Criteria</t>
        </is>
      </c>
      <c r="F3" s="191" t="inlineStr">
        <is>
          <t>Exit Criteria</t>
        </is>
      </c>
      <c r="G3" s="191" t="inlineStr">
        <is>
          <t>Main Tools</t>
        </is>
      </c>
      <c r="H3" s="191" t="inlineStr">
        <is>
          <t>Status</t>
        </is>
      </c>
      <c r="I3" s="191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0</t>
        </is>
      </c>
      <c r="B4" s="258" t="inlineStr">
        <is>
          <t>Project Baseline</t>
        </is>
      </c>
      <c r="C4" s="258" t="inlineStr">
        <is>
          <t>Finalize architecture and workbook</t>
        </is>
      </c>
      <c r="D4" s="258" t="inlineStr">
        <is>
          <t>Approved workbook and topology</t>
        </is>
      </c>
      <c r="E4" s="258" t="inlineStr">
        <is>
          <t>User confirms direction</t>
        </is>
      </c>
      <c r="F4" s="258" t="inlineStr">
        <is>
          <t>Workbook ready and first active step chosen</t>
        </is>
      </c>
      <c r="G4" s="258" t="inlineStr">
        <is>
          <t>Excel/ChatGPT</t>
        </is>
      </c>
      <c r="H4" s="258" t="inlineStr">
        <is>
          <t>In Progress</t>
        </is>
      </c>
      <c r="I4" s="258" t="inlineStr">
        <is>
          <t>This workbook is the continuity reference.</t>
        </is>
      </c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0.5</t>
        </is>
      </c>
      <c r="B5" s="258" t="inlineStr">
        <is>
          <t>GitHub + Codex Setup</t>
        </is>
      </c>
      <c r="C5" s="258" t="inlineStr">
        <is>
          <t>Move development workflow into GitHub with Codex task control</t>
        </is>
      </c>
      <c r="D5" s="258" t="inlineStr">
        <is>
          <t>Repository, AGENTS.md, README, workbook in docs/</t>
        </is>
      </c>
      <c r="E5" s="258" t="inlineStr">
        <is>
          <t>Workbook baseline available</t>
        </is>
      </c>
      <c r="F5" s="258" t="inlineStr">
        <is>
          <t>Repo can be opened by VS Code/Codex and pushed to GitHub</t>
        </is>
      </c>
      <c r="G5" s="258" t="inlineStr">
        <is>
          <t>GitHub, VS Code, Codex CLI/Cloud</t>
        </is>
      </c>
      <c r="H5" s="258" t="inlineStr">
        <is>
          <t>Not Started</t>
        </is>
      </c>
      <c r="I5" s="258" t="inlineStr">
        <is>
          <t>Added because user will develop using Codex on MacBook Pro M1 Max.</t>
        </is>
      </c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1</t>
        </is>
      </c>
      <c r="B6" s="258" t="inlineStr">
        <is>
          <t>Simulation Core</t>
        </is>
      </c>
      <c r="C6" s="258" t="inlineStr">
        <is>
          <t>Simulate 6 nodes and 2 gateways before hardware</t>
        </is>
      </c>
      <c r="D6" s="258" t="inlineStr">
        <is>
          <t>Python simulator with routing/failover logs</t>
        </is>
      </c>
      <c r="E6" s="258" t="inlineStr">
        <is>
          <t>GitHub/Codex setup done</t>
        </is>
      </c>
      <c r="F6" s="258" t="inlineStr">
        <is>
          <t>Message routing between Network A and B simulated</t>
        </is>
      </c>
      <c r="G6" s="258" t="inlineStr">
        <is>
          <t>VS Code, Codex, Python</t>
        </is>
      </c>
      <c r="H6" s="258" t="inlineStr">
        <is>
          <t>Not Started</t>
        </is>
      </c>
      <c r="I6" s="258" t="inlineStr">
        <is>
          <t>No hardware needed yet.</t>
        </is>
      </c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2</t>
        </is>
      </c>
      <c r="B7" s="258" t="inlineStr">
        <is>
          <t>ESP32 Simulation Firmware</t>
        </is>
      </c>
      <c r="C7" s="258" t="inlineStr">
        <is>
          <t>Start PlatformIO ESP32 code in simulation mode</t>
        </is>
      </c>
      <c r="D7" s="258" t="inlineStr">
        <is>
          <t>Buildable PlatformIO project</t>
        </is>
      </c>
      <c r="E7" s="258" t="inlineStr">
        <is>
          <t>Repo ready and packet format draft ready</t>
        </is>
      </c>
      <c r="F7" s="258" t="inlineStr">
        <is>
          <t>Node simulation builds and logs message state</t>
        </is>
      </c>
      <c r="G7" s="258" t="inlineStr">
        <is>
          <t>VS Code, PlatformIO, Codex</t>
        </is>
      </c>
      <c r="H7" s="258" t="inlineStr">
        <is>
          <t>Not Started</t>
        </is>
      </c>
      <c r="I7" s="258" t="inlineStr">
        <is>
          <t>Codex task C1.</t>
        </is>
      </c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3</t>
        </is>
      </c>
      <c r="B8" s="258" t="inlineStr">
        <is>
          <t>ESP32 LoRa Firmware</t>
        </is>
      </c>
      <c r="C8" s="258" t="inlineStr">
        <is>
          <t>Add SX1278 Ra-02 LoRa messaging</t>
        </is>
      </c>
      <c r="D8" s="258" t="inlineStr">
        <is>
          <t>Firmware for LoRa send/receive and ACK</t>
        </is>
      </c>
      <c r="E8" s="258" t="inlineStr">
        <is>
          <t>ESP32 simulation stable</t>
        </is>
      </c>
      <c r="F8" s="258" t="inlineStr">
        <is>
          <t>Physical node-to-node message send/ACK works</t>
        </is>
      </c>
      <c r="G8" s="258" t="inlineStr">
        <is>
          <t>ESP32, PlatformIO, Codex</t>
        </is>
      </c>
      <c r="H8" s="258" t="inlineStr">
        <is>
          <t>Not Started</t>
        </is>
      </c>
      <c r="I8" s="258" t="inlineStr">
        <is>
          <t>Start with 2 nodes, then 6.</t>
        </is>
      </c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4</t>
        </is>
      </c>
      <c r="B9" s="258" t="inlineStr">
        <is>
          <t>Raspberry Pi Gateway</t>
        </is>
      </c>
      <c r="C9" s="258" t="inlineStr">
        <is>
          <t>Build gateway service and dashboard</t>
        </is>
      </c>
      <c r="D9" s="258" t="inlineStr">
        <is>
          <t>Python service + Flask dashboard</t>
        </is>
      </c>
      <c r="E9" s="258" t="inlineStr">
        <is>
          <t>Protocol stable</t>
        </is>
      </c>
      <c r="F9" s="258" t="inlineStr">
        <is>
          <t>Gateway sends/receives LoRa and routes to WiFi path</t>
        </is>
      </c>
      <c r="G9" s="258" t="inlineStr">
        <is>
          <t>Raspberry Pi 3B, Python, Codex</t>
        </is>
      </c>
      <c r="H9" s="258" t="inlineStr">
        <is>
          <t>Not Started</t>
        </is>
      </c>
      <c r="I9" s="258" t="inlineStr">
        <is>
          <t>Direct LoRa module on Pi.</t>
        </is>
      </c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5</t>
        </is>
      </c>
      <c r="B10" s="258" t="inlineStr">
        <is>
          <t>Router/Satellite Simulation</t>
        </is>
      </c>
      <c r="C10" s="258" t="inlineStr">
        <is>
          <t>Connect gateways over WiFi routers</t>
        </is>
      </c>
      <c r="D10" s="258" t="inlineStr">
        <is>
          <t>Inter-network messaging with latency simulation</t>
        </is>
      </c>
      <c r="E10" s="258" t="inlineStr">
        <is>
          <t>Gateway API stable</t>
        </is>
      </c>
      <c r="F10" s="258" t="inlineStr">
        <is>
          <t>Network A can deliver to Network B through WiFi path</t>
        </is>
      </c>
      <c r="G10" s="258" t="inlineStr">
        <is>
          <t>Routers, Linux tc/netem</t>
        </is>
      </c>
      <c r="H10" s="258" t="inlineStr">
        <is>
          <t>Not Started</t>
        </is>
      </c>
      <c r="I10" s="258" t="inlineStr">
        <is>
          <t>Use 500-700 ms delay.</t>
        </is>
      </c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6</t>
        </is>
      </c>
      <c r="B11" s="258" t="inlineStr">
        <is>
          <t>Failover/Recovery Test Logic</t>
        </is>
      </c>
      <c r="C11" s="258" t="inlineStr">
        <is>
          <t>Implement and validate DOCX acceptance logic</t>
        </is>
      </c>
      <c r="D11" s="258" t="inlineStr">
        <is>
          <t>State machine and test reports</t>
        </is>
      </c>
      <c r="E11" s="258" t="inlineStr">
        <is>
          <t>Simulation and gateway stable</t>
        </is>
      </c>
      <c r="F11" s="258" t="inlineStr">
        <is>
          <t>Pass baseline, degradation, failover, recovery tests</t>
        </is>
      </c>
      <c r="G11" s="258" t="inlineStr">
        <is>
          <t>Codex, Python, PlatformIO</t>
        </is>
      </c>
      <c r="H11" s="258" t="inlineStr">
        <is>
          <t>Not Started</t>
        </is>
      </c>
      <c r="I11" s="258" t="inlineStr">
        <is>
          <t>RSSI &lt; -78 dBm for 10s and stable 10s recovery.</t>
        </is>
      </c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7</t>
        </is>
      </c>
      <c r="B12" s="258" t="inlineStr">
        <is>
          <t>Android Chat App</t>
        </is>
      </c>
      <c r="C12" s="258" t="inlineStr">
        <is>
          <t>Create Android messaging app</t>
        </is>
      </c>
      <c r="D12" s="258" t="inlineStr">
        <is>
          <t>Android Studio project</t>
        </is>
      </c>
      <c r="E12" s="258" t="inlineStr">
        <is>
          <t>Gateway/ESP32 protocol stable</t>
        </is>
      </c>
      <c r="F12" s="258" t="inlineStr">
        <is>
          <t>App sends/receives via selected transport</t>
        </is>
      </c>
      <c r="G12" s="258" t="inlineStr">
        <is>
          <t>Android Studio, Kotlin, Codex</t>
        </is>
      </c>
      <c r="H12" s="258" t="inlineStr">
        <is>
          <t>Not Started</t>
        </is>
      </c>
      <c r="I12" s="258" t="inlineStr">
        <is>
          <t>Manual Auto/LoRa/WiFi/GSM mode selection.</t>
        </is>
      </c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8</t>
        </is>
      </c>
      <c r="B13" s="258" t="inlineStr">
        <is>
          <t>Integrated Test Campaign</t>
        </is>
      </c>
      <c r="C13" s="258" t="inlineStr">
        <is>
          <t>Validate acceptance criteria</t>
        </is>
      </c>
      <c r="D13" s="258" t="inlineStr">
        <is>
          <t>Signed test results and logs</t>
        </is>
      </c>
      <c r="E13" s="258" t="inlineStr">
        <is>
          <t>All components working</t>
        </is>
      </c>
      <c r="F13" s="258" t="inlineStr">
        <is>
          <t>PDR, failover, recovery, uptime targets measured</t>
        </is>
      </c>
      <c r="G13" s="258" t="inlineStr">
        <is>
          <t>Workbook + logs</t>
        </is>
      </c>
      <c r="H13" s="258" t="inlineStr">
        <is>
          <t>Not Started</t>
        </is>
      </c>
      <c r="I13" s="258" t="inlineStr">
        <is>
          <t>Update workbook after every passed step.</t>
        </is>
      </c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33" t="inlineStr">
        <is>
          <t>Codex-Only Development Overlay</t>
        </is>
      </c>
      <c r="B16" s="233" t="str"/>
      <c r="C16" s="233" t="str"/>
      <c r="D16" s="233" t="str"/>
      <c r="E16" s="233" t="str"/>
      <c r="F16" s="233" t="str"/>
      <c r="G16" s="233" t="str"/>
      <c r="H16" s="233" t="str"/>
      <c r="I16" s="233" t="str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41" t="inlineStr">
        <is>
          <t>Order</t>
        </is>
      </c>
      <c r="B18" s="241" t="inlineStr">
        <is>
          <t>Phase</t>
        </is>
      </c>
      <c r="C18" s="241" t="inlineStr">
        <is>
          <t>Primary tool</t>
        </is>
      </c>
      <c r="D18" s="241" t="inlineStr">
        <is>
          <t>Secondary tool</t>
        </is>
      </c>
      <c r="E18" s="241" t="inlineStr">
        <is>
          <t>Requires hardware</t>
        </is>
      </c>
      <c r="F18" s="241" t="inlineStr">
        <is>
          <t>Repo area</t>
        </is>
      </c>
      <c r="G18" s="241" t="inlineStr">
        <is>
          <t>Completion evidence</t>
        </is>
      </c>
      <c r="H18" s="241" t="inlineStr">
        <is>
          <t>Workbook sheet to update</t>
        </is>
      </c>
      <c r="I18" s="241" t="inlineStr">
        <is>
          <t>Status</t>
        </is>
      </c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>
        <v>1</v>
      </c>
      <c r="B19" s="258" t="inlineStr">
        <is>
          <t>GitHub baseline</t>
        </is>
      </c>
      <c r="C19" s="258" t="inlineStr">
        <is>
          <t>Codex Web</t>
        </is>
      </c>
      <c r="D19" s="258" t="inlineStr">
        <is>
          <t>Codex CLI</t>
        </is>
      </c>
      <c r="E19" s="258" t="b">
        <v>0</v>
      </c>
      <c r="F19" s="258" t="inlineStr">
        <is>
          <t>repo root + docs</t>
        </is>
      </c>
      <c r="G19" s="258" t="inlineStr">
        <is>
          <t>Repo created and initial commit pushed</t>
        </is>
      </c>
      <c r="H19" s="258" t="inlineStr">
        <is>
          <t>Codex GitHub Workflow / Repo Structure</t>
        </is>
      </c>
      <c r="I19" s="258" t="inlineStr">
        <is>
          <t>Next</t>
        </is>
      </c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>
        <v>2</v>
      </c>
      <c r="B20" s="258" t="inlineStr">
        <is>
          <t>ESP32 simulation</t>
        </is>
      </c>
      <c r="C20" s="258" t="inlineStr">
        <is>
          <t>Codex Web</t>
        </is>
      </c>
      <c r="D20" s="258" t="inlineStr">
        <is>
          <t>Codex CLI</t>
        </is>
      </c>
      <c r="E20" s="258" t="b">
        <v>0</v>
      </c>
      <c r="F20" s="258" t="inlineStr">
        <is>
          <t>esp32-node-platformio</t>
        </is>
      </c>
      <c r="G20" s="258" t="inlineStr">
        <is>
          <t>PlatformIO build log</t>
        </is>
      </c>
      <c r="H20" s="258" t="inlineStr">
        <is>
          <t>Detailed Steps / Progress Tracker</t>
        </is>
      </c>
      <c r="I20" s="258" t="inlineStr">
        <is>
          <t>Planned</t>
        </is>
      </c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>
        <v>3</v>
      </c>
      <c r="B21" s="258" t="inlineStr">
        <is>
          <t>RPi gateway simulation</t>
        </is>
      </c>
      <c r="C21" s="258" t="inlineStr">
        <is>
          <t>Codex Web</t>
        </is>
      </c>
      <c r="D21" s="258" t="inlineStr">
        <is>
          <t>Codex CLI</t>
        </is>
      </c>
      <c r="E21" s="258" t="b">
        <v>0</v>
      </c>
      <c r="F21" s="258" t="inlineStr">
        <is>
          <t>rpi-gateway</t>
        </is>
      </c>
      <c r="G21" s="258" t="inlineStr">
        <is>
          <t>pytest/simulation log</t>
        </is>
      </c>
      <c r="H21" s="258" t="inlineStr">
        <is>
          <t>Simulation Plan / Progress Tracker</t>
        </is>
      </c>
      <c r="I21" s="258" t="inlineStr">
        <is>
          <t>Planned</t>
        </is>
      </c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>
        <v>4</v>
      </c>
      <c r="B22" s="258" t="inlineStr">
        <is>
          <t>ESP32 LoRa + Bluetooth</t>
        </is>
      </c>
      <c r="C22" s="258" t="inlineStr">
        <is>
          <t>Codex Web</t>
        </is>
      </c>
      <c r="D22" s="258" t="inlineStr">
        <is>
          <t>Codex CLI</t>
        </is>
      </c>
      <c r="E22" s="258" t="b">
        <v>1</v>
      </c>
      <c r="F22" s="258" t="inlineStr">
        <is>
          <t>esp32-node-platformio</t>
        </is>
      </c>
      <c r="G22" s="258" t="inlineStr">
        <is>
          <t>Hardware test screenshots/logs</t>
        </is>
      </c>
      <c r="H22" s="258" t="inlineStr">
        <is>
          <t>Config Tracker / Issue Log</t>
        </is>
      </c>
      <c r="I22" s="258" t="inlineStr">
        <is>
          <t>Planned</t>
        </is>
      </c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>
        <v>5</v>
      </c>
      <c r="B23" s="258" t="inlineStr">
        <is>
          <t>Gateway LoRa + WiFi routers</t>
        </is>
      </c>
      <c r="C23" s="258" t="inlineStr">
        <is>
          <t>Codex Web</t>
        </is>
      </c>
      <c r="D23" s="258" t="inlineStr">
        <is>
          <t>Codex CLI</t>
        </is>
      </c>
      <c r="E23" s="258" t="b">
        <v>1</v>
      </c>
      <c r="F23" s="258" t="inlineStr">
        <is>
          <t>rpi-gateway</t>
        </is>
      </c>
      <c r="G23" s="258" t="inlineStr">
        <is>
          <t>Inter-gateway routing test</t>
        </is>
      </c>
      <c r="H23" s="258" t="inlineStr">
        <is>
          <t>Test Campaign / Progress Tracker</t>
        </is>
      </c>
      <c r="I23" s="258" t="inlineStr">
        <is>
          <t>Planned</t>
        </is>
      </c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>
        <v>6</v>
      </c>
      <c r="B24" s="258" t="inlineStr">
        <is>
          <t>Android app</t>
        </is>
      </c>
      <c r="C24" s="258" t="inlineStr">
        <is>
          <t>Codex Web</t>
        </is>
      </c>
      <c r="D24" s="258" t="inlineStr">
        <is>
          <t>Codex CLI + Android Studio</t>
        </is>
      </c>
      <c r="E24" s="258" t="b">
        <v>1</v>
      </c>
      <c r="F24" s="258" t="inlineStr">
        <is>
          <t>android-chat-app</t>
        </is>
      </c>
      <c r="G24" s="258" t="inlineStr">
        <is>
          <t>Build/app screenshots</t>
        </is>
      </c>
      <c r="H24" s="258" t="inlineStr">
        <is>
          <t>Android App Plan / Progress Tracker</t>
        </is>
      </c>
      <c r="I24" s="258" t="inlineStr">
        <is>
          <t>Planned</t>
        </is>
      </c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3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18" customWidth="1" style="51" min="3" max="3"/>
    <col width="42" customWidth="1" style="51" min="4" max="4"/>
    <col width="34" customWidth="1" style="51" min="5" max="5"/>
    <col width="18" customWidth="1" style="51" min="6" max="6"/>
    <col width="18" customWidth="1" style="51" min="7" max="7"/>
    <col width="18" customWidth="1" style="51" min="8" max="8"/>
    <col width="18" customWidth="1" style="51" min="9" max="9"/>
    <col width="28" customWidth="1" style="51" min="10" max="10"/>
    <col width="24" customWidth="1" style="51" min="11" max="11"/>
    <col width="30" customWidth="1" style="51" min="12" max="12"/>
  </cols>
  <sheetData>
    <row r="1" ht="16.79999923706055" customHeight="1" s="51">
      <c r="A1" s="268" t="inlineStr">
        <is>
          <t>DETAILED STEP TRACKER - UPDATE AFTER EVERY COMPLETED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 ht="15" customHeight="1" s="51">
      <c r="A2" s="191" t="inlineStr">
        <is>
          <t>Step ID</t>
        </is>
      </c>
      <c r="B2" s="191" t="inlineStr">
        <is>
          <t>Phase</t>
        </is>
      </c>
      <c r="C2" s="191" t="inlineStr">
        <is>
          <t>Stage</t>
        </is>
      </c>
      <c r="D2" s="191" t="inlineStr">
        <is>
          <t>Action / Procedure</t>
        </is>
      </c>
      <c r="E2" s="191" t="inlineStr">
        <is>
          <t>Validation / Expected Result</t>
        </is>
      </c>
      <c r="F2" s="191" t="inlineStr">
        <is>
          <t>Status</t>
        </is>
      </c>
      <c r="G2" s="191" t="inlineStr">
        <is>
          <t>Owner</t>
        </is>
      </c>
      <c r="H2" s="191" t="inlineStr">
        <is>
          <t>Date Started</t>
        </is>
      </c>
      <c r="I2" s="191" t="inlineStr">
        <is>
          <t>Date Completed</t>
        </is>
      </c>
      <c r="J2" s="191" t="inlineStr">
        <is>
          <t>Actual Result</t>
        </is>
      </c>
      <c r="K2" s="191" t="inlineStr">
        <is>
          <t>Evidence / File / Screenshot</t>
        </is>
      </c>
      <c r="L2" s="191" t="inlineStr">
        <is>
          <t>Notes</t>
        </is>
      </c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 ht="15" customHeight="1" s="51">
      <c r="A3" s="258" t="inlineStr">
        <is>
          <t>0.1</t>
        </is>
      </c>
      <c r="B3" s="258" t="inlineStr">
        <is>
          <t>0 Baseline</t>
        </is>
      </c>
      <c r="C3" s="258" t="inlineStr">
        <is>
          <t>Workbook</t>
        </is>
      </c>
      <c r="D3" s="258" t="inlineStr">
        <is>
          <t>Review workbook sheets and confirm architecture</t>
        </is>
      </c>
      <c r="E3" s="258" t="inlineStr">
        <is>
          <t>Architecture accepted or edits listed</t>
        </is>
      </c>
      <c r="F3" s="258" t="inlineStr">
        <is>
          <t>In Progress</t>
        </is>
      </c>
      <c r="G3" s="258" t="inlineStr">
        <is>
          <t>User + ChatGPT</t>
        </is>
      </c>
      <c r="H3" s="258" t="str"/>
      <c r="I3" s="258" t="str"/>
      <c r="J3" s="258" t="str"/>
      <c r="K3" s="258" t="str"/>
      <c r="L3" s="258" t="str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 ht="52.79999923706055" customHeight="1" s="51">
      <c r="A4" s="258" t="inlineStr">
        <is>
          <t>0.2</t>
        </is>
      </c>
      <c r="B4" s="258" t="inlineStr">
        <is>
          <t>0 Baseline</t>
        </is>
      </c>
      <c r="C4" s="258" t="inlineStr">
        <is>
          <t>Topology</t>
        </is>
      </c>
      <c r="D4" s="258" t="inlineStr">
        <is>
          <t>Confirm 6-node topology: Network A has 3 nodes, Network B has 3 nodes, each paired by Bluetooth to Android phone, with one gateway and one WiFi router per network</t>
        </is>
      </c>
      <c r="E4" s="258" t="inlineStr">
        <is>
          <t>Topology confirmed</t>
        </is>
      </c>
      <c r="F4" s="258" t="inlineStr">
        <is>
          <t>Not Started</t>
        </is>
      </c>
      <c r="G4" s="258" t="inlineStr">
        <is>
          <t>User + ChatGPT</t>
        </is>
      </c>
      <c r="H4" s="258" t="str"/>
      <c r="I4" s="258" t="str"/>
      <c r="J4" s="258" t="str"/>
      <c r="K4" s="258" t="str"/>
      <c r="L4" s="258" t="str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 ht="26.39999961853027" customHeight="1" s="51">
      <c r="A5" s="258" t="inlineStr">
        <is>
          <t>0.3</t>
        </is>
      </c>
      <c r="B5" s="258" t="inlineStr">
        <is>
          <t>0 Baseline</t>
        </is>
      </c>
      <c r="C5" s="258" t="inlineStr">
        <is>
          <t>Frequency</t>
        </is>
      </c>
      <c r="D5" s="258" t="inlineStr">
        <is>
          <t>Confirm prototype frequency and power setting for SX1278 Ra-02 433 MHz</t>
        </is>
      </c>
      <c r="E5" s="258" t="inlineStr">
        <is>
          <t>Selected LoRa settings documented</t>
        </is>
      </c>
      <c r="F5" s="258" t="inlineStr">
        <is>
          <t>Not Started</t>
        </is>
      </c>
      <c r="G5" s="258" t="inlineStr">
        <is>
          <t>User</t>
        </is>
      </c>
      <c r="H5" s="258" t="str"/>
      <c r="I5" s="258" t="str"/>
      <c r="J5" s="258" t="str"/>
      <c r="K5" s="258" t="str"/>
      <c r="L5" s="258" t="str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 ht="26.39999961853027" customHeight="1" s="51">
      <c r="A6" s="258" t="inlineStr">
        <is>
          <t>0.4</t>
        </is>
      </c>
      <c r="B6" s="258" t="inlineStr">
        <is>
          <t>0.5 GitHub/Codex</t>
        </is>
      </c>
      <c r="C6" s="258" t="inlineStr">
        <is>
          <t>Repository</t>
        </is>
      </c>
      <c r="D6" s="258" t="inlineStr">
        <is>
          <t>Create GitHub repository pup-manet-emergency-messaging</t>
        </is>
      </c>
      <c r="E6" s="258" t="inlineStr">
        <is>
          <t>Repo exists and is accessible</t>
        </is>
      </c>
      <c r="F6" s="258" t="inlineStr">
        <is>
          <t>Not Started</t>
        </is>
      </c>
      <c r="G6" s="258" t="inlineStr">
        <is>
          <t>User</t>
        </is>
      </c>
      <c r="H6" s="258" t="str"/>
      <c r="I6" s="258" t="str"/>
      <c r="J6" s="258" t="str"/>
      <c r="K6" s="258" t="inlineStr">
        <is>
          <t>Repo URL</t>
        </is>
      </c>
      <c r="L6" s="258" t="str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 ht="26.39999961853027" customHeight="1" s="51">
      <c r="A7" s="258" t="inlineStr">
        <is>
          <t>0.5</t>
        </is>
      </c>
      <c r="B7" s="258" t="inlineStr">
        <is>
          <t>0.5 GitHub/Codex</t>
        </is>
      </c>
      <c r="C7" s="258" t="inlineStr">
        <is>
          <t>Local Clone</t>
        </is>
      </c>
      <c r="D7" s="258" t="inlineStr">
        <is>
          <t>Clone repo on MacBook Pro M1 Max and open in VS Code</t>
        </is>
      </c>
      <c r="E7" s="258" t="inlineStr">
        <is>
          <t>Repo opens locally; git status clean</t>
        </is>
      </c>
      <c r="F7" s="258" t="inlineStr">
        <is>
          <t>Not Started</t>
        </is>
      </c>
      <c r="G7" s="258" t="inlineStr">
        <is>
          <t>User</t>
        </is>
      </c>
      <c r="H7" s="258" t="str"/>
      <c r="I7" s="258" t="str"/>
      <c r="J7" s="258" t="str"/>
      <c r="K7" s="258" t="inlineStr">
        <is>
          <t>Terminal output</t>
        </is>
      </c>
      <c r="L7" s="258" t="str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 ht="52.79999923706055" customHeight="1" s="51">
      <c r="A8" s="258" t="inlineStr">
        <is>
          <t>0.6</t>
        </is>
      </c>
      <c r="B8" s="258" t="inlineStr">
        <is>
          <t>0.5 GitHub/Codex</t>
        </is>
      </c>
      <c r="C8" s="258" t="inlineStr">
        <is>
          <t>Repo Structure</t>
        </is>
      </c>
      <c r="D8" s="258" t="inlineStr">
        <is>
          <t>Create required folders: esp32-node-platformio, rpi-gateway, android-chat-app, docs/workbook, docs/diagrams, docs/test-procedures, docs/codex-prompts</t>
        </is>
      </c>
      <c r="E8" s="258" t="inlineStr">
        <is>
          <t>Folders exist</t>
        </is>
      </c>
      <c r="F8" s="258" t="inlineStr">
        <is>
          <t>Not Started</t>
        </is>
      </c>
      <c r="G8" s="258" t="inlineStr">
        <is>
          <t>User + Codex</t>
        </is>
      </c>
      <c r="H8" s="258" t="str"/>
      <c r="I8" s="258" t="str"/>
      <c r="J8" s="258" t="str"/>
      <c r="K8" s="258" t="inlineStr">
        <is>
          <t>tree output</t>
        </is>
      </c>
      <c r="L8" s="258" t="inlineStr">
        <is>
          <t>Use Codex task C0 or manual setup.</t>
        </is>
      </c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 ht="26.39999961853027" customHeight="1" s="51">
      <c r="A9" s="258" t="inlineStr">
        <is>
          <t>0.7</t>
        </is>
      </c>
      <c r="B9" s="258" t="inlineStr">
        <is>
          <t>0.5 GitHub/Codex</t>
        </is>
      </c>
      <c r="C9" s="258" t="inlineStr">
        <is>
          <t>AGENTS.md</t>
        </is>
      </c>
      <c r="D9" s="258" t="inlineStr">
        <is>
          <t>Add repository AGENTS.md with project rules for Codex</t>
        </is>
      </c>
      <c r="E9" s="258" t="inlineStr">
        <is>
          <t>Codex instructions file exists</t>
        </is>
      </c>
      <c r="F9" s="258" t="inlineStr">
        <is>
          <t>Not Started</t>
        </is>
      </c>
      <c r="G9" s="258" t="inlineStr">
        <is>
          <t>Codex/User</t>
        </is>
      </c>
      <c r="H9" s="258" t="str"/>
      <c r="I9" s="258" t="str"/>
      <c r="J9" s="258" t="str"/>
      <c r="K9" s="258" t="inlineStr">
        <is>
          <t>File path + commit hash</t>
        </is>
      </c>
      <c r="L9" s="258" t="inlineStr">
        <is>
          <t>Must require workbook step reference for all tasks.</t>
        </is>
      </c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 ht="26.39999961853027" customHeight="1" s="51">
      <c r="A10" s="258" t="inlineStr">
        <is>
          <t>0.8</t>
        </is>
      </c>
      <c r="B10" s="258" t="inlineStr">
        <is>
          <t>0.5 GitHub/Codex</t>
        </is>
      </c>
      <c r="C10" s="258" t="inlineStr">
        <is>
          <t>Workbook Commit</t>
        </is>
      </c>
      <c r="D10" s="258" t="inlineStr">
        <is>
          <t>Copy latest workbook and diagrams into docs folder and commit to GitHub</t>
        </is>
      </c>
      <c r="E10" s="258" t="inlineStr">
        <is>
          <t>Workbook and diagrams are versioned</t>
        </is>
      </c>
      <c r="F10" s="258" t="inlineStr">
        <is>
          <t>Not Started</t>
        </is>
      </c>
      <c r="G10" s="258" t="inlineStr">
        <is>
          <t>User</t>
        </is>
      </c>
      <c r="H10" s="258" t="str"/>
      <c r="I10" s="258" t="str"/>
      <c r="J10" s="258" t="str"/>
      <c r="K10" s="258" t="inlineStr">
        <is>
          <t>Commit hash</t>
        </is>
      </c>
      <c r="L10" s="258" t="inlineStr">
        <is>
          <t>This workbook must be updated after every completed step.</t>
        </is>
      </c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 ht="26.39999961853027" customHeight="1" s="51">
      <c r="A11" s="258" t="inlineStr">
        <is>
          <t>0.9</t>
        </is>
      </c>
      <c r="B11" s="258" t="inlineStr">
        <is>
          <t>0.5 GitHub/Codex</t>
        </is>
      </c>
      <c r="C11" s="258" t="inlineStr">
        <is>
          <t>Codex Test Task</t>
        </is>
      </c>
      <c r="D11" s="258" t="inlineStr">
        <is>
          <t>Run small Codex task to update README only</t>
        </is>
      </c>
      <c r="E11" s="258" t="inlineStr">
        <is>
          <t>Codex completes task without touching unrelated files</t>
        </is>
      </c>
      <c r="F11" s="258" t="inlineStr">
        <is>
          <t>Not Started</t>
        </is>
      </c>
      <c r="G11" s="258" t="inlineStr">
        <is>
          <t>User + Codex</t>
        </is>
      </c>
      <c r="H11" s="258" t="str"/>
      <c r="I11" s="258" t="str"/>
      <c r="J11" s="258" t="str"/>
      <c r="K11" s="258" t="inlineStr">
        <is>
          <t>Codex task link or terminal output</t>
        </is>
      </c>
      <c r="L11" s="258" t="inlineStr">
        <is>
          <t>Confirms Codex workflow before code development.</t>
        </is>
      </c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 ht="26.39999961853027" customHeight="1" s="51">
      <c r="A12" s="258" t="inlineStr">
        <is>
          <t>1.1</t>
        </is>
      </c>
      <c r="B12" s="258" t="inlineStr">
        <is>
          <t>1 Simulation</t>
        </is>
      </c>
      <c r="C12" s="258" t="inlineStr">
        <is>
          <t>Packet Model</t>
        </is>
      </c>
      <c r="D12" s="258" t="inlineStr">
        <is>
          <t>Create JSON packet model for message, ACK, HELLO, route advert, gateway advert</t>
        </is>
      </c>
      <c r="E12" s="258" t="inlineStr">
        <is>
          <t>Simulator accepts packet schema</t>
        </is>
      </c>
      <c r="F12" s="258" t="inlineStr">
        <is>
          <t>Not Started</t>
        </is>
      </c>
      <c r="G12" s="258" t="inlineStr">
        <is>
          <t>Codex</t>
        </is>
      </c>
      <c r="H12" s="258" t="str"/>
      <c r="I12" s="258" t="str"/>
      <c r="J12" s="258" t="str"/>
      <c r="K12" s="258" t="inlineStr">
        <is>
          <t>PR/commit + test log</t>
        </is>
      </c>
      <c r="L12" s="258" t="str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 ht="26.39999961853027" customHeight="1" s="51">
      <c r="A13" s="258" t="inlineStr">
        <is>
          <t>1.2</t>
        </is>
      </c>
      <c r="B13" s="258" t="inlineStr">
        <is>
          <t>1 Simulation</t>
        </is>
      </c>
      <c r="C13" s="258" t="inlineStr">
        <is>
          <t>Six Nodes</t>
        </is>
      </c>
      <c r="D13" s="258" t="inlineStr">
        <is>
          <t>Simulate six nodes: A1-A3 and B1-B3 with two gateways GWA/GWB</t>
        </is>
      </c>
      <c r="E13" s="258" t="inlineStr">
        <is>
          <t>All simulated nodes appear in log</t>
        </is>
      </c>
      <c r="F13" s="258" t="inlineStr">
        <is>
          <t>Not Started</t>
        </is>
      </c>
      <c r="G13" s="258" t="inlineStr">
        <is>
          <t>Codex</t>
        </is>
      </c>
      <c r="H13" s="258" t="str"/>
      <c r="I13" s="258" t="str"/>
      <c r="J13" s="258" t="str"/>
      <c r="K13" s="258" t="inlineStr">
        <is>
          <t>Test log</t>
        </is>
      </c>
      <c r="L13" s="258" t="str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 ht="26.39999961853027" customHeight="1" s="51">
      <c r="A14" s="258" t="inlineStr">
        <is>
          <t>1.3</t>
        </is>
      </c>
      <c r="B14" s="258" t="inlineStr">
        <is>
          <t>1 Simulation</t>
        </is>
      </c>
      <c r="C14" s="258" t="inlineStr">
        <is>
          <t>Local Delivery</t>
        </is>
      </c>
      <c r="D14" s="258" t="inlineStr">
        <is>
          <t>Send message from A1 to A2 and A3 through simulated local routing</t>
        </is>
      </c>
      <c r="E14" s="258" t="inlineStr">
        <is>
          <t>Message delivered with ACK</t>
        </is>
      </c>
      <c r="F14" s="258" t="inlineStr">
        <is>
          <t>Not Started</t>
        </is>
      </c>
      <c r="G14" s="258" t="inlineStr">
        <is>
          <t>Codex/User</t>
        </is>
      </c>
      <c r="H14" s="258" t="str"/>
      <c r="I14" s="258" t="str"/>
      <c r="J14" s="258" t="str"/>
      <c r="K14" s="258" t="inlineStr">
        <is>
          <t>Simulation log</t>
        </is>
      </c>
      <c r="L14" s="258" t="str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 ht="26.39999961853027" customHeight="1" s="51">
      <c r="A15" s="258" t="inlineStr">
        <is>
          <t>1.4</t>
        </is>
      </c>
      <c r="B15" s="258" t="inlineStr">
        <is>
          <t>1 Simulation</t>
        </is>
      </c>
      <c r="C15" s="258" t="inlineStr">
        <is>
          <t>Cross Network Delivery</t>
        </is>
      </c>
      <c r="D15" s="258" t="inlineStr">
        <is>
          <t>Send message from A1 to B1 via Gateway A -&gt; WiFi router link -&gt; Gateway B</t>
        </is>
      </c>
      <c r="E15" s="258" t="inlineStr">
        <is>
          <t>Message reaches remote network with ordered delivery</t>
        </is>
      </c>
      <c r="F15" s="258" t="inlineStr">
        <is>
          <t>Not Started</t>
        </is>
      </c>
      <c r="G15" s="258" t="inlineStr">
        <is>
          <t>Codex/User</t>
        </is>
      </c>
      <c r="H15" s="258" t="str"/>
      <c r="I15" s="258" t="str"/>
      <c r="J15" s="258" t="str"/>
      <c r="K15" s="258" t="inlineStr">
        <is>
          <t>Simulation log</t>
        </is>
      </c>
      <c r="L15" s="258" t="str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 ht="15" customHeight="1" s="51">
      <c r="A16" s="258" t="inlineStr">
        <is>
          <t>1.5</t>
        </is>
      </c>
      <c r="B16" s="258" t="inlineStr">
        <is>
          <t>1 Simulation</t>
        </is>
      </c>
      <c r="C16" s="258" t="inlineStr">
        <is>
          <t>Degradation Detection</t>
        </is>
      </c>
      <c r="D16" s="258" t="inlineStr">
        <is>
          <t>Simulate RSSI below -78 dBm for 10 seconds</t>
        </is>
      </c>
      <c r="E16" s="258" t="inlineStr">
        <is>
          <t>System changes to degraded/failover state</t>
        </is>
      </c>
      <c r="F16" s="258" t="inlineStr">
        <is>
          <t>Not Started</t>
        </is>
      </c>
      <c r="G16" s="258" t="inlineStr">
        <is>
          <t>Codex/User</t>
        </is>
      </c>
      <c r="H16" s="258" t="str"/>
      <c r="I16" s="258" t="str"/>
      <c r="J16" s="258" t="str"/>
      <c r="K16" s="258" t="inlineStr">
        <is>
          <t>Timestamped logs</t>
        </is>
      </c>
      <c r="L16" s="258" t="inlineStr">
        <is>
          <t>DOCX test alignment.</t>
        </is>
      </c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 ht="26.39999961853027" customHeight="1" s="51">
      <c r="A17" s="258" t="inlineStr">
        <is>
          <t>1.6</t>
        </is>
      </c>
      <c r="B17" s="258" t="inlineStr">
        <is>
          <t>1 Simulation</t>
        </is>
      </c>
      <c r="C17" s="258" t="inlineStr">
        <is>
          <t>Recovery Detection</t>
        </is>
      </c>
      <c r="D17" s="258" t="inlineStr">
        <is>
          <t>Simulate stable MANET link for 10 seconds and return to MANET within 5 seconds</t>
        </is>
      </c>
      <c r="E17" s="258" t="inlineStr">
        <is>
          <t>Recovery succeeds with no message loss</t>
        </is>
      </c>
      <c r="F17" s="258" t="inlineStr">
        <is>
          <t>Not Started</t>
        </is>
      </c>
      <c r="G17" s="258" t="inlineStr">
        <is>
          <t>Codex/User</t>
        </is>
      </c>
      <c r="H17" s="258" t="str"/>
      <c r="I17" s="258" t="str"/>
      <c r="J17" s="258" t="str"/>
      <c r="K17" s="258" t="inlineStr">
        <is>
          <t>Timestamped logs</t>
        </is>
      </c>
      <c r="L17" s="258" t="inlineStr">
        <is>
          <t>DOCX test alignment.</t>
        </is>
      </c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 ht="15" customHeight="1" s="51">
      <c r="A18" s="258" t="inlineStr">
        <is>
          <t>2.1</t>
        </is>
      </c>
      <c r="B18" s="258" t="inlineStr">
        <is>
          <t>2 ESP32 Sim</t>
        </is>
      </c>
      <c r="C18" s="258" t="inlineStr">
        <is>
          <t>PlatformIO Project</t>
        </is>
      </c>
      <c r="D18" s="258" t="inlineStr">
        <is>
          <t>Create ESP32 PlatformIO project in simulation mode</t>
        </is>
      </c>
      <c r="E18" s="258" t="inlineStr">
        <is>
          <t>pio run succeeds</t>
        </is>
      </c>
      <c r="F18" s="258" t="inlineStr">
        <is>
          <t>Not Started</t>
        </is>
      </c>
      <c r="G18" s="258" t="inlineStr">
        <is>
          <t>Codex</t>
        </is>
      </c>
      <c r="H18" s="258" t="str"/>
      <c r="I18" s="258" t="str"/>
      <c r="J18" s="258" t="str"/>
      <c r="K18" s="258" t="inlineStr">
        <is>
          <t>Build log</t>
        </is>
      </c>
      <c r="L18" s="258" t="inlineStr">
        <is>
          <t>Use Codex task C1.</t>
        </is>
      </c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 ht="26.39999961853027" customHeight="1" s="51">
      <c r="A19" s="258" t="inlineStr">
        <is>
          <t>2.2</t>
        </is>
      </c>
      <c r="B19" s="258" t="inlineStr">
        <is>
          <t>2 ESP32 Sim</t>
        </is>
      </c>
      <c r="C19" s="258" t="inlineStr">
        <is>
          <t>Serial Debug</t>
        </is>
      </c>
      <c r="D19" s="258" t="inlineStr">
        <is>
          <t>Print node ID, mode, queue status, and simulated link state to Serial Monitor</t>
        </is>
      </c>
      <c r="E19" s="258" t="inlineStr">
        <is>
          <t>Readable serial output</t>
        </is>
      </c>
      <c r="F19" s="258" t="inlineStr">
        <is>
          <t>Not Started</t>
        </is>
      </c>
      <c r="G19" s="258" t="inlineStr">
        <is>
          <t>Codex/User</t>
        </is>
      </c>
      <c r="H19" s="258" t="str"/>
      <c r="I19" s="258" t="str"/>
      <c r="J19" s="258" t="str"/>
      <c r="K19" s="258" t="inlineStr">
        <is>
          <t>Serial screenshot</t>
        </is>
      </c>
      <c r="L19" s="258" t="str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 ht="26.39999961853027" customHeight="1" s="51">
      <c r="A20" s="258" t="inlineStr">
        <is>
          <t>3.1</t>
        </is>
      </c>
      <c r="B20" s="258" t="inlineStr">
        <is>
          <t>3 ESP32 LoRa</t>
        </is>
      </c>
      <c r="C20" s="258" t="inlineStr">
        <is>
          <t>LoRa Wiring Doc</t>
        </is>
      </c>
      <c r="D20" s="258" t="inlineStr">
        <is>
          <t>Document ESP32-to-SX1278 Ra-02 wiring and pin configuration</t>
        </is>
      </c>
      <c r="E20" s="258" t="inlineStr">
        <is>
          <t>Wiring sheet/config updated</t>
        </is>
      </c>
      <c r="F20" s="258" t="inlineStr">
        <is>
          <t>Not Started</t>
        </is>
      </c>
      <c r="G20" s="258" t="inlineStr">
        <is>
          <t>Codex/User</t>
        </is>
      </c>
      <c r="H20" s="258" t="str"/>
      <c r="I20" s="258" t="str"/>
      <c r="J20" s="258" t="str"/>
      <c r="K20" s="258" t="inlineStr">
        <is>
          <t>Wiring doc</t>
        </is>
      </c>
      <c r="L20" s="258" t="str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 ht="15" customHeight="1" s="51">
      <c r="A21" s="258" t="inlineStr">
        <is>
          <t>3.2</t>
        </is>
      </c>
      <c r="B21" s="258" t="inlineStr">
        <is>
          <t>3 ESP32 LoRa</t>
        </is>
      </c>
      <c r="C21" s="258" t="inlineStr">
        <is>
          <t>LoRa Send/Receive</t>
        </is>
      </c>
      <c r="D21" s="258" t="inlineStr">
        <is>
          <t>Implement LoRa packet send/receive</t>
        </is>
      </c>
      <c r="E21" s="258" t="inlineStr">
        <is>
          <t>Two nodes exchange packets</t>
        </is>
      </c>
      <c r="F21" s="258" t="inlineStr">
        <is>
          <t>Not Started</t>
        </is>
      </c>
      <c r="G21" s="258" t="inlineStr">
        <is>
          <t>Codex/User</t>
        </is>
      </c>
      <c r="H21" s="258" t="str"/>
      <c r="I21" s="258" t="str"/>
      <c r="J21" s="258" t="str"/>
      <c r="K21" s="258" t="inlineStr">
        <is>
          <t>Serial logs</t>
        </is>
      </c>
      <c r="L21" s="258" t="str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 ht="15" customHeight="1" s="51">
      <c r="A22" s="258" t="inlineStr">
        <is>
          <t>3.3</t>
        </is>
      </c>
      <c r="B22" s="258" t="inlineStr">
        <is>
          <t>3 ESP32 LoRa</t>
        </is>
      </c>
      <c r="C22" s="258" t="inlineStr">
        <is>
          <t>ACK/Retry</t>
        </is>
      </c>
      <c r="D22" s="258" t="inlineStr">
        <is>
          <t>Implement ACK, retry, duplicate filter</t>
        </is>
      </c>
      <c r="E22" s="258" t="inlineStr">
        <is>
          <t>Message delivery improves under packet loss</t>
        </is>
      </c>
      <c r="F22" s="258" t="inlineStr">
        <is>
          <t>Not Started</t>
        </is>
      </c>
      <c r="G22" s="258" t="inlineStr">
        <is>
          <t>Codex/User</t>
        </is>
      </c>
      <c r="H22" s="258" t="str"/>
      <c r="I22" s="258" t="str"/>
      <c r="J22" s="258" t="str"/>
      <c r="K22" s="258" t="inlineStr">
        <is>
          <t>Serial logs</t>
        </is>
      </c>
      <c r="L22" s="258" t="str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 ht="15" customHeight="1" s="51">
      <c r="A23" s="269" t="inlineStr">
        <is>
          <t>4.1</t>
        </is>
      </c>
      <c r="B23" s="269" t="inlineStr">
        <is>
          <t>4 Gateway</t>
        </is>
      </c>
      <c r="C23" s="269" t="inlineStr">
        <is>
          <t>Gateway Simulation</t>
        </is>
      </c>
      <c r="D23" s="269" t="inlineStr">
        <is>
          <t>Create Python/Flask gateway simulation service</t>
        </is>
      </c>
      <c r="E23" s="269" t="inlineStr">
        <is>
          <t>Runs on Mac/RPi in simulation mode</t>
        </is>
      </c>
      <c r="F23" s="269" t="inlineStr">
        <is>
          <t>Completed</t>
        </is>
      </c>
      <c r="G23" s="269" t="inlineStr">
        <is>
          <t>Codex</t>
        </is>
      </c>
      <c r="H23" s="269" t="str"/>
      <c r="I23" s="269" t="inlineStr">
        <is>
          <t>2026-05-12</t>
        </is>
      </c>
      <c r="J23" s="269" t="inlineStr">
        <is>
          <t>Gateway simulator created under rpi-gateway; six-node/two-gateway simulation, gateway forwarding, buffering, ACK, 10-second failover, and 10-second recovery validated.</t>
        </is>
      </c>
      <c r="K23" s="269" t="inlineStr">
        <is>
          <t>rpi-gateway tests passed; docs/codex-task-logs/STEP_024_RASPBERRY_PI_GATEWAY_INTEGRATION.md; commit 6bea5a5</t>
        </is>
      </c>
      <c r="L23" s="269" t="inlineStr">
        <is>
          <t>Simulation baseline only. Raspberry Pi SPI/SX1278 hardware integration remains later step.</t>
        </is>
      </c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 ht="26.39999961853027" customHeight="1" s="51">
      <c r="A24" s="258" t="inlineStr">
        <is>
          <t>4.2</t>
        </is>
      </c>
      <c r="B24" s="258" t="inlineStr">
        <is>
          <t>4 Gateway</t>
        </is>
      </c>
      <c r="C24" s="258" t="inlineStr">
        <is>
          <t>LoRa SPI Integration</t>
        </is>
      </c>
      <c r="D24" s="258" t="inlineStr">
        <is>
          <t>Connect Raspberry Pi 3B directly to LoRa module via SPI through hardware abstraction layer</t>
        </is>
      </c>
      <c r="E24" s="258" t="inlineStr">
        <is>
          <t>Gateway receives node heartbeats</t>
        </is>
      </c>
      <c r="F24" s="258" t="inlineStr">
        <is>
          <t>Not Started</t>
        </is>
      </c>
      <c r="G24" s="258" t="inlineStr">
        <is>
          <t>Codex/User</t>
        </is>
      </c>
      <c r="H24" s="258" t="str"/>
      <c r="I24" s="258" t="str"/>
      <c r="J24" s="258" t="str"/>
      <c r="K24" s="258" t="inlineStr">
        <is>
          <t>RPi logs</t>
        </is>
      </c>
      <c r="L24" s="258" t="str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 ht="26.39999961853027" customHeight="1" s="51">
      <c r="A25" s="258" t="inlineStr">
        <is>
          <t>5.1</t>
        </is>
      </c>
      <c r="B25" s="258" t="inlineStr">
        <is>
          <t>5 Router Link</t>
        </is>
      </c>
      <c r="C25" s="258" t="inlineStr">
        <is>
          <t>Router-to-Router Link</t>
        </is>
      </c>
      <c r="D25" s="258" t="inlineStr">
        <is>
          <t>Configure/verify two WiFi routers connected wirelessly as simulated satellite path</t>
        </is>
      </c>
      <c r="E25" s="258" t="inlineStr">
        <is>
          <t>Gateway A can ping Gateway B through router path</t>
        </is>
      </c>
      <c r="F25" s="258" t="inlineStr">
        <is>
          <t>Not Started</t>
        </is>
      </c>
      <c r="G25" s="258" t="inlineStr">
        <is>
          <t>User</t>
        </is>
      </c>
      <c r="H25" s="258" t="str"/>
      <c r="I25" s="258" t="str"/>
      <c r="J25" s="258" t="str"/>
      <c r="K25" s="258" t="inlineStr">
        <is>
          <t>Ping log</t>
        </is>
      </c>
      <c r="L25" s="258" t="str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 ht="26.39999961853027" customHeight="1" s="51">
      <c r="A26" s="258" t="inlineStr">
        <is>
          <t>5.2</t>
        </is>
      </c>
      <c r="B26" s="258" t="inlineStr">
        <is>
          <t>5 Router Link</t>
        </is>
      </c>
      <c r="C26" s="258" t="inlineStr">
        <is>
          <t>Latency Simulation</t>
        </is>
      </c>
      <c r="D26" s="258" t="inlineStr">
        <is>
          <t>Apply 500-700 ms simulated latency using Linux tc/netem where applicable</t>
        </is>
      </c>
      <c r="E26" s="258" t="inlineStr">
        <is>
          <t>Latency measured in logs</t>
        </is>
      </c>
      <c r="F26" s="258" t="inlineStr">
        <is>
          <t>Not Started</t>
        </is>
      </c>
      <c r="G26" s="258" t="inlineStr">
        <is>
          <t>User/Codex</t>
        </is>
      </c>
      <c r="H26" s="258" t="str"/>
      <c r="I26" s="258" t="str"/>
      <c r="J26" s="258" t="str"/>
      <c r="K26" s="258" t="inlineStr">
        <is>
          <t>Ping log</t>
        </is>
      </c>
      <c r="L26" s="258" t="str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 ht="26.39999961853027" customHeight="1" s="51">
      <c r="A27" s="258" t="inlineStr">
        <is>
          <t>6.1</t>
        </is>
      </c>
      <c r="B27" s="258" t="inlineStr">
        <is>
          <t>6 Failover</t>
        </is>
      </c>
      <c r="C27" s="258" t="inlineStr">
        <is>
          <t>Failover State Machine</t>
        </is>
      </c>
      <c r="D27" s="258" t="inlineStr">
        <is>
          <t>Implement RSSI &lt; -78 dBm for 10 seconds and ACK/timeout failover triggers</t>
        </is>
      </c>
      <c r="E27" s="258" t="inlineStr">
        <is>
          <t>Failover starts within 10 seconds</t>
        </is>
      </c>
      <c r="F27" s="258" t="inlineStr">
        <is>
          <t>Not Started</t>
        </is>
      </c>
      <c r="G27" s="258" t="inlineStr">
        <is>
          <t>Codex/User</t>
        </is>
      </c>
      <c r="H27" s="258" t="str"/>
      <c r="I27" s="258" t="str"/>
      <c r="J27" s="258" t="str"/>
      <c r="K27" s="258" t="inlineStr">
        <is>
          <t>Test log</t>
        </is>
      </c>
      <c r="L27" s="258" t="inlineStr">
        <is>
          <t>Use Codex task C5.</t>
        </is>
      </c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 ht="15" customHeight="1" s="51">
      <c r="A28" s="258" t="inlineStr">
        <is>
          <t>6.2</t>
        </is>
      </c>
      <c r="B28" s="258" t="inlineStr">
        <is>
          <t>6 Failover</t>
        </is>
      </c>
      <c r="C28" s="258" t="inlineStr">
        <is>
          <t>Store and Forward</t>
        </is>
      </c>
      <c r="D28" s="258" t="inlineStr">
        <is>
          <t>Buffer messages during failover and preserve order</t>
        </is>
      </c>
      <c r="E28" s="258" t="inlineStr">
        <is>
          <t>No message loss during route switch</t>
        </is>
      </c>
      <c r="F28" s="258" t="inlineStr">
        <is>
          <t>Not Started</t>
        </is>
      </c>
      <c r="G28" s="258" t="inlineStr">
        <is>
          <t>Codex/User</t>
        </is>
      </c>
      <c r="H28" s="258" t="str"/>
      <c r="I28" s="258" t="str"/>
      <c r="J28" s="258" t="str"/>
      <c r="K28" s="258" t="inlineStr">
        <is>
          <t>Queue logs</t>
        </is>
      </c>
      <c r="L28" s="258" t="str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 ht="26.39999961853027" customHeight="1" s="51">
      <c r="A29" s="258" t="inlineStr">
        <is>
          <t>6.3</t>
        </is>
      </c>
      <c r="B29" s="258" t="inlineStr">
        <is>
          <t>6 Failover</t>
        </is>
      </c>
      <c r="C29" s="258" t="inlineStr">
        <is>
          <t>Recovery</t>
        </is>
      </c>
      <c r="D29" s="258" t="inlineStr">
        <is>
          <t>Return to MANET after stable link for 10 seconds; complete switch within 5 seconds</t>
        </is>
      </c>
      <c r="E29" s="258" t="inlineStr">
        <is>
          <t>Recovery passes acceptance criteria</t>
        </is>
      </c>
      <c r="F29" s="258" t="inlineStr">
        <is>
          <t>Not Started</t>
        </is>
      </c>
      <c r="G29" s="258" t="inlineStr">
        <is>
          <t>Codex/User</t>
        </is>
      </c>
      <c r="H29" s="258" t="str"/>
      <c r="I29" s="258" t="str"/>
      <c r="J29" s="258" t="str"/>
      <c r="K29" s="258" t="inlineStr">
        <is>
          <t>Timestamped logs</t>
        </is>
      </c>
      <c r="L29" s="258" t="str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 ht="15" customHeight="1" s="51">
      <c r="A30" s="258" t="inlineStr">
        <is>
          <t>7.1</t>
        </is>
      </c>
      <c r="B30" s="258" t="inlineStr">
        <is>
          <t>7 Android</t>
        </is>
      </c>
      <c r="C30" s="258" t="inlineStr">
        <is>
          <t>Android Project</t>
        </is>
      </c>
      <c r="D30" s="258" t="inlineStr">
        <is>
          <t>Create Android Studio Kotlin app MVP</t>
        </is>
      </c>
      <c r="E30" s="258" t="inlineStr">
        <is>
          <t>Project builds</t>
        </is>
      </c>
      <c r="F30" s="258" t="inlineStr">
        <is>
          <t>Not Started</t>
        </is>
      </c>
      <c r="G30" s="258" t="inlineStr">
        <is>
          <t>Codex/User</t>
        </is>
      </c>
      <c r="H30" s="258" t="str"/>
      <c r="I30" s="258" t="str"/>
      <c r="J30" s="258" t="str"/>
      <c r="K30" s="258" t="inlineStr">
        <is>
          <t>Build screenshot</t>
        </is>
      </c>
      <c r="L30" s="258" t="inlineStr">
        <is>
          <t>Use Codex task C6.</t>
        </is>
      </c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 ht="26.39999961853027" customHeight="1" s="51">
      <c r="A31" s="258" t="inlineStr">
        <is>
          <t>7.2</t>
        </is>
      </c>
      <c r="B31" s="258" t="inlineStr">
        <is>
          <t>7 Android</t>
        </is>
      </c>
      <c r="C31" s="258" t="inlineStr">
        <is>
          <t>Bluetooth Pairing</t>
        </is>
      </c>
      <c r="D31" s="258" t="inlineStr">
        <is>
          <t>Pair Android phone to assigned ESP32 node via Bluetooth</t>
        </is>
      </c>
      <c r="E31" s="258" t="inlineStr">
        <is>
          <t>Phone can send test message to node</t>
        </is>
      </c>
      <c r="F31" s="258" t="inlineStr">
        <is>
          <t>Not Started</t>
        </is>
      </c>
      <c r="G31" s="258" t="inlineStr">
        <is>
          <t>Codex/User</t>
        </is>
      </c>
      <c r="H31" s="258" t="str"/>
      <c r="I31" s="258" t="str"/>
      <c r="J31" s="258" t="str"/>
      <c r="K31" s="258" t="inlineStr">
        <is>
          <t>App screenshot/serial log</t>
        </is>
      </c>
      <c r="L31" s="258" t="str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 ht="15" customHeight="1" s="51">
      <c r="A32" s="258" t="inlineStr">
        <is>
          <t>7.3</t>
        </is>
      </c>
      <c r="B32" s="258" t="inlineStr">
        <is>
          <t>7 Android</t>
        </is>
      </c>
      <c r="C32" s="258" t="inlineStr">
        <is>
          <t>Network Selection</t>
        </is>
      </c>
      <c r="D32" s="258" t="inlineStr">
        <is>
          <t>Add Auto, LoRa, WiFi, GSM manual mode selector</t>
        </is>
      </c>
      <c r="E32" s="258" t="inlineStr">
        <is>
          <t>UI and internal state work</t>
        </is>
      </c>
      <c r="F32" s="258" t="inlineStr">
        <is>
          <t>Not Started</t>
        </is>
      </c>
      <c r="G32" s="258" t="inlineStr">
        <is>
          <t>Codex/User</t>
        </is>
      </c>
      <c r="H32" s="258" t="str"/>
      <c r="I32" s="258" t="str"/>
      <c r="J32" s="258" t="str"/>
      <c r="K32" s="258" t="inlineStr">
        <is>
          <t>App screenshot</t>
        </is>
      </c>
      <c r="L32" s="258" t="str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 ht="26.39999961853027" customHeight="1" s="51">
      <c r="A33" s="258" t="inlineStr">
        <is>
          <t>8.1</t>
        </is>
      </c>
      <c r="B33" s="258" t="inlineStr">
        <is>
          <t>8 Test Campaign</t>
        </is>
      </c>
      <c r="C33" s="258" t="inlineStr">
        <is>
          <t>Baseline Test</t>
        </is>
      </c>
      <c r="D33" s="258" t="inlineStr">
        <is>
          <t>Run DOCX baseline operation test</t>
        </is>
      </c>
      <c r="E33" s="258" t="inlineStr">
        <is>
          <t>PDR &gt;=95%, MANET forms &lt;30 sec, satellite inactive</t>
        </is>
      </c>
      <c r="F33" s="258" t="inlineStr">
        <is>
          <t>Not Started</t>
        </is>
      </c>
      <c r="G33" s="258" t="inlineStr">
        <is>
          <t>User</t>
        </is>
      </c>
      <c r="H33" s="258" t="str"/>
      <c r="I33" s="258" t="str"/>
      <c r="J33" s="258" t="str"/>
      <c r="K33" s="258" t="inlineStr">
        <is>
          <t>Test report</t>
        </is>
      </c>
      <c r="L33" s="258" t="str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 ht="15" customHeight="1" s="51">
      <c r="A34" s="258" t="inlineStr">
        <is>
          <t>8.2</t>
        </is>
      </c>
      <c r="B34" s="258" t="inlineStr">
        <is>
          <t>8 Test Campaign</t>
        </is>
      </c>
      <c r="C34" s="258" t="inlineStr">
        <is>
          <t>Degradation Test</t>
        </is>
      </c>
      <c r="D34" s="258" t="inlineStr">
        <is>
          <t>Run DOCX degradation detection test</t>
        </is>
      </c>
      <c r="E34" s="258" t="inlineStr">
        <is>
          <t>RSSI &lt; -78 dBm for 10 seconds detected</t>
        </is>
      </c>
      <c r="F34" s="258" t="inlineStr">
        <is>
          <t>Not Started</t>
        </is>
      </c>
      <c r="G34" s="258" t="inlineStr">
        <is>
          <t>User</t>
        </is>
      </c>
      <c r="H34" s="258" t="str"/>
      <c r="I34" s="258" t="str"/>
      <c r="J34" s="258" t="str"/>
      <c r="K34" s="258" t="inlineStr">
        <is>
          <t>Test report</t>
        </is>
      </c>
      <c r="L34" s="258" t="str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 ht="15" customHeight="1" s="51">
      <c r="A35" s="258" t="inlineStr">
        <is>
          <t>8.3</t>
        </is>
      </c>
      <c r="B35" s="258" t="inlineStr">
        <is>
          <t>8 Test Campaign</t>
        </is>
      </c>
      <c r="C35" s="258" t="inlineStr">
        <is>
          <t>Failover Test</t>
        </is>
      </c>
      <c r="D35" s="258" t="inlineStr">
        <is>
          <t>Run DOCX failover activation test</t>
        </is>
      </c>
      <c r="E35" s="258" t="inlineStr">
        <is>
          <t>Failover trigger time = 10 seconds</t>
        </is>
      </c>
      <c r="F35" s="258" t="inlineStr">
        <is>
          <t>Not Started</t>
        </is>
      </c>
      <c r="G35" s="258" t="inlineStr">
        <is>
          <t>User</t>
        </is>
      </c>
      <c r="H35" s="258" t="str"/>
      <c r="I35" s="258" t="str"/>
      <c r="J35" s="258" t="str"/>
      <c r="K35" s="258" t="inlineStr">
        <is>
          <t>Test report</t>
        </is>
      </c>
      <c r="L35" s="258" t="str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 ht="15" customHeight="1" s="51">
      <c r="A36" s="258" t="inlineStr">
        <is>
          <t>8.4</t>
        </is>
      </c>
      <c r="B36" s="258" t="inlineStr">
        <is>
          <t>8 Test Campaign</t>
        </is>
      </c>
      <c r="C36" s="258" t="inlineStr">
        <is>
          <t>Sustained Operation</t>
        </is>
      </c>
      <c r="D36" s="258" t="inlineStr">
        <is>
          <t>Run 24-hour sustained emergency operation test</t>
        </is>
      </c>
      <c r="E36" s="258" t="inlineStr">
        <is>
          <t>Uptime &gt;=80%; no unrecoverable failure</t>
        </is>
      </c>
      <c r="F36" s="258" t="inlineStr">
        <is>
          <t>Not Started</t>
        </is>
      </c>
      <c r="G36" s="258" t="inlineStr">
        <is>
          <t>User</t>
        </is>
      </c>
      <c r="H36" s="258" t="str"/>
      <c r="I36" s="258" t="str"/>
      <c r="J36" s="258" t="str"/>
      <c r="K36" s="258" t="inlineStr">
        <is>
          <t>Test report</t>
        </is>
      </c>
      <c r="L36" s="258" t="str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 ht="26.39999961853027" customHeight="1" s="51">
      <c r="A37" s="258" t="inlineStr">
        <is>
          <t>8.5</t>
        </is>
      </c>
      <c r="B37" s="258" t="inlineStr">
        <is>
          <t>8 Test Campaign</t>
        </is>
      </c>
      <c r="C37" s="258" t="inlineStr">
        <is>
          <t>Recovery Test</t>
        </is>
      </c>
      <c r="D37" s="258" t="inlineStr">
        <is>
          <t>Run DOCX recovery/reversion test</t>
        </is>
      </c>
      <c r="E37" s="258" t="inlineStr">
        <is>
          <t>Switch back within 5 seconds with no message loss</t>
        </is>
      </c>
      <c r="F37" s="258" t="inlineStr">
        <is>
          <t>Not Started</t>
        </is>
      </c>
      <c r="G37" s="258" t="inlineStr">
        <is>
          <t>User</t>
        </is>
      </c>
      <c r="H37" s="258" t="str"/>
      <c r="I37" s="258" t="str"/>
      <c r="J37" s="258" t="str"/>
      <c r="K37" s="258" t="inlineStr">
        <is>
          <t>Test report</t>
        </is>
      </c>
      <c r="L37" s="258" t="str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 ht="15" customHeight="1" s="51">
      <c r="A38" s="270" t="inlineStr">
        <is>
          <t>STEP 023</t>
        </is>
      </c>
      <c r="B38" s="269" t="inlineStr">
        <is>
          <t>23 Integrated ESP32/Android</t>
        </is>
      </c>
      <c r="C38" s="269" t="inlineStr">
        <is>
          <t>End-to-End Android-LoRa-Android Messaging</t>
        </is>
      </c>
      <c r="D38" s="269" t="inlineStr">
        <is>
          <t>Validate Android Phone A to NODE_A to LoRa to NODE_B to Android Phone B using addressed destination messaging.</t>
        </is>
      </c>
      <c r="E38" s="269" t="inlineStr">
        <is>
          <t>Terminal logs show BT_RX, LORA_TX, LORA_RX, LORA_PROTOCOL_RX, and BT_TX_FROM_LORA.</t>
        </is>
      </c>
      <c r="F38" s="270" t="inlineStr">
        <is>
          <t>Completed</t>
        </is>
      </c>
      <c r="G38" s="269" t="inlineStr">
        <is>
          <t>Codex/User</t>
        </is>
      </c>
      <c r="H38" s="269" t="inlineStr"/>
      <c r="I38" s="269" t="inlineStr">
        <is>
          <t>2026-05-13</t>
        </is>
      </c>
      <c r="J38" s="269" t="inlineStr">
        <is>
          <t>Hardware bridge and demo APK validated. Phone B sent a typed message through NODE_B over LoRa to NODE_A, and Phone A displayed the readable incoming message.</t>
        </is>
      </c>
      <c r="K38" s="269" t="inlineStr">
        <is>
          <t>Android demo APK path: android-chat-app/demo-apk/PUP-MANET-Messenger-Step023-Demo-debug.apk; NodeA_Terminal.txt / NodeB_Terminal.txt; phoneA/phoneB screenshots; task log ANDROID_DEMO_APK_MESSAGE_FLOW.md; commit 03d4cb0.</t>
        </is>
      </c>
      <c r="L38" s="269" t="inlineStr">
        <is>
          <t>Addressed specific-node demo is ready for client showing. This is not broadcast mode, and GSM remains a later workbook step.</t>
        </is>
      </c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 ht="15" customHeight="1" s="51">
      <c r="A39" s="270" t="inlineStr">
        <is>
          <t>STEP 024</t>
        </is>
      </c>
      <c r="B39" s="269" t="inlineStr">
        <is>
          <t>24 Gateway</t>
        </is>
      </c>
      <c r="C39" s="269" t="inlineStr">
        <is>
          <t>Raspberry Pi Gateway Integration - Simulation Baseline</t>
        </is>
      </c>
      <c r="D39" s="269" t="inlineStr">
        <is>
          <t>Create simulation-first gateway baseline before Raspberry Pi hardware integration.</t>
        </is>
      </c>
      <c r="E39" s="269" t="inlineStr">
        <is>
          <t>Gateway simulation runs locally and unit tests pass.</t>
        </is>
      </c>
      <c r="F39" s="270" t="inlineStr">
        <is>
          <t>Completed</t>
        </is>
      </c>
      <c r="G39" s="269" t="inlineStr">
        <is>
          <t>Codex</t>
        </is>
      </c>
      <c r="H39" s="269" t="inlineStr"/>
      <c r="I39" s="269" t="inlineStr">
        <is>
          <t>2026-05-12</t>
        </is>
      </c>
      <c r="J39" s="269" t="inlineStr">
        <is>
          <t>Python gateway simulator and tests created in rpi-gateway.</t>
        </is>
      </c>
      <c r="K39" s="269" t="inlineStr">
        <is>
          <t>python3 run_simulation.py; python3 -m unittest discover -s tests; Step 024 task log; commit 6bea5a5.</t>
        </is>
      </c>
      <c r="L39" s="269" t="inlineStr">
        <is>
          <t>Hardware SPI/LoRa gateway integration remains later workbook step.</t>
        </is>
      </c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 ht="15" customHeight="1" s="51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 ht="15" customHeight="1" s="5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 ht="15" customHeight="1" s="51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 ht="15" customHeight="1" s="51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 ht="15" customHeight="1" s="51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 ht="15" customHeight="1" s="51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L1"/>
  </mergeCells>
  <dataValidations count="2">
    <dataValidation sqref="F3:F200" showDropDown="0" showInputMessage="0" showErrorMessage="0" allowBlank="0" type="list">
      <formula1>"Not Started,In Progress,Done,Blocked,Skipped"</formula1>
    </dataValidation>
    <dataValidation sqref="F3:F45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8" customWidth="1" style="51" min="2" max="2"/>
    <col width="22" customWidth="1" style="51" min="3" max="3"/>
    <col width="38" customWidth="1" style="51" min="4" max="4"/>
    <col width="18" customWidth="1" style="51" min="5" max="5"/>
    <col width="12" customWidth="1" style="51" min="6" max="6"/>
    <col width="32" customWidth="1" style="51" min="7" max="7"/>
    <col width="34" customWidth="1" style="51" min="8" max="8"/>
    <col width="14" customWidth="1" style="51" min="9" max="9"/>
    <col width="42" customWidth="1" style="51" min="10" max="10"/>
  </cols>
  <sheetData>
    <row r="1">
      <c r="A1" s="44" t="inlineStr">
        <is>
          <t>Hardware Bill of Materials and Notes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Item</t>
        </is>
      </c>
      <c r="B3" s="42" t="inlineStr">
        <is>
          <t>Qty</t>
        </is>
      </c>
      <c r="C3" s="42" t="inlineStr">
        <is>
          <t>Use</t>
        </is>
      </c>
      <c r="D3" s="42" t="inlineStr">
        <is>
          <t>Recommended Spec</t>
        </is>
      </c>
      <c r="E3" s="42" t="inlineStr">
        <is>
          <t>Already Available?</t>
        </is>
      </c>
      <c r="F3" s="42" t="inlineStr">
        <is>
          <t>Priority</t>
        </is>
      </c>
      <c r="G3" s="42" t="inlineStr">
        <is>
          <t>Risk</t>
        </is>
      </c>
      <c r="H3" s="42" t="inlineStr">
        <is>
          <t>Validation Test</t>
        </is>
      </c>
      <c r="I3" s="42" t="inlineStr">
        <is>
          <t>Status</t>
        </is>
      </c>
      <c r="J3" s="42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ESP32 Dev Board</t>
        </is>
      </c>
      <c r="B4" s="258" t="inlineStr">
        <is>
          <t>6+</t>
        </is>
      </c>
      <c r="C4" s="258" t="inlineStr">
        <is>
          <t>MANET nodes</t>
        </is>
      </c>
      <c r="D4" s="258" t="inlineStr">
        <is>
          <t>ESP32 WROOM-32 acceptable; ESP32-S3 optional</t>
        </is>
      </c>
      <c r="E4" s="258" t="inlineStr">
        <is>
          <t>Yes/confirm</t>
        </is>
      </c>
      <c r="F4" s="258" t="inlineStr">
        <is>
          <t>High</t>
        </is>
      </c>
      <c r="G4" s="258" t="inlineStr">
        <is>
          <t>Pin/library differences</t>
        </is>
      </c>
      <c r="H4" s="258" t="inlineStr">
        <is>
          <t>Blink + serial + LoRa init</t>
        </is>
      </c>
      <c r="I4" s="258" t="inlineStr">
        <is>
          <t>Planned</t>
        </is>
      </c>
      <c r="J4" s="258" t="inlineStr">
        <is>
          <t>Use same board type if possible.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SX1278 Ra-02 433 MHz</t>
        </is>
      </c>
      <c r="B5" s="258" t="inlineStr">
        <is>
          <t>8</t>
        </is>
      </c>
      <c r="C5" s="258" t="inlineStr">
        <is>
          <t>6 nodes + 2 gateways</t>
        </is>
      </c>
      <c r="D5" s="258" t="inlineStr">
        <is>
          <t>433 MHz module with correct antenna</t>
        </is>
      </c>
      <c r="E5" s="258" t="inlineStr">
        <is>
          <t>Yes/confirm</t>
        </is>
      </c>
      <c r="F5" s="258" t="inlineStr">
        <is>
          <t>High</t>
        </is>
      </c>
      <c r="G5" s="258" t="inlineStr">
        <is>
          <t>Regulatory/power limits; bad antenna</t>
        </is>
      </c>
      <c r="H5" s="258" t="inlineStr">
        <is>
          <t>LoRa send/receive at short range</t>
        </is>
      </c>
      <c r="I5" s="258" t="inlineStr">
        <is>
          <t>Planned</t>
        </is>
      </c>
      <c r="J5" s="258" t="inlineStr">
        <is>
          <t>Use low power for prototype.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Raspberry Pi 3B</t>
        </is>
      </c>
      <c r="B6" s="258" t="inlineStr">
        <is>
          <t>2</t>
        </is>
      </c>
      <c r="C6" s="258" t="inlineStr">
        <is>
          <t>Gateways</t>
        </is>
      </c>
      <c r="D6" s="258" t="inlineStr">
        <is>
          <t>Pi 3B with stable 5V supply</t>
        </is>
      </c>
      <c r="E6" s="258" t="inlineStr">
        <is>
          <t>Confirm</t>
        </is>
      </c>
      <c r="F6" s="258" t="inlineStr">
        <is>
          <t>High</t>
        </is>
      </c>
      <c r="G6" s="258" t="inlineStr">
        <is>
          <t>SPI wiring, CPU limits</t>
        </is>
      </c>
      <c r="H6" s="258" t="inlineStr">
        <is>
          <t>Python LoRa gateway receives packets</t>
        </is>
      </c>
      <c r="I6" s="258" t="inlineStr">
        <is>
          <t>Planned</t>
        </is>
      </c>
      <c r="J6" s="258" t="inlineStr">
        <is>
          <t>Use Lite OS if possible.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WiFi Router 2.4 GHz</t>
        </is>
      </c>
      <c r="B7" s="258" t="inlineStr">
        <is>
          <t>2</t>
        </is>
      </c>
      <c r="C7" s="258" t="inlineStr">
        <is>
          <t>Satellite simulation</t>
        </is>
      </c>
      <c r="D7" s="258" t="inlineStr">
        <is>
          <t>Router that supports wireless bridge/repeater/client mode preferred</t>
        </is>
      </c>
      <c r="E7" s="258" t="inlineStr">
        <is>
          <t>Yes</t>
        </is>
      </c>
      <c r="F7" s="258" t="inlineStr">
        <is>
          <t>High</t>
        </is>
      </c>
      <c r="G7" s="258" t="inlineStr">
        <is>
          <t>May not bridge wirelessly</t>
        </is>
      </c>
      <c r="H7" s="258" t="inlineStr">
        <is>
          <t>Gateway ping test</t>
        </is>
      </c>
      <c r="I7" s="258" t="inlineStr">
        <is>
          <t>Planned</t>
        </is>
      </c>
      <c r="J7" s="258" t="inlineStr">
        <is>
          <t>If unsupported, use OpenWrt/travel router.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Android Phone</t>
        </is>
      </c>
      <c r="B8" s="258" t="inlineStr">
        <is>
          <t>1+</t>
        </is>
      </c>
      <c r="C8" s="258" t="inlineStr">
        <is>
          <t>Chat app testing</t>
        </is>
      </c>
      <c r="D8" s="258" t="inlineStr">
        <is>
          <t>Android 8+ recommended</t>
        </is>
      </c>
      <c r="E8" s="258" t="inlineStr">
        <is>
          <t>Confirm</t>
        </is>
      </c>
      <c r="F8" s="258" t="inlineStr">
        <is>
          <t>Medium</t>
        </is>
      </c>
      <c r="G8" s="258" t="inlineStr">
        <is>
          <t>Network permissions/background limits</t>
        </is>
      </c>
      <c r="H8" s="258" t="inlineStr">
        <is>
          <t>Install APK, connect to gateway</t>
        </is>
      </c>
      <c r="I8" s="258" t="inlineStr">
        <is>
          <t>Future</t>
        </is>
      </c>
      <c r="J8" s="258" t="inlineStr">
        <is>
          <t>Start web dashboard first.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Li-ion Battery Pack</t>
        </is>
      </c>
      <c r="B9" s="258" t="inlineStr">
        <is>
          <t>6</t>
        </is>
      </c>
      <c r="C9" s="258" t="inlineStr">
        <is>
          <t>Portable nodes</t>
        </is>
      </c>
      <c r="D9" s="258" t="inlineStr">
        <is>
          <t>3.7V/5V boost or regulated 5V</t>
        </is>
      </c>
      <c r="E9" s="258" t="inlineStr">
        <is>
          <t>Confirm</t>
        </is>
      </c>
      <c r="F9" s="258" t="inlineStr">
        <is>
          <t>Medium</t>
        </is>
      </c>
      <c r="G9" s="258" t="inlineStr">
        <is>
          <t>Voltage sag</t>
        </is>
      </c>
      <c r="H9" s="258" t="inlineStr">
        <is>
          <t>Runtime and battery reading test</t>
        </is>
      </c>
      <c r="I9" s="258" t="inlineStr">
        <is>
          <t>Future</t>
        </is>
      </c>
      <c r="J9" s="258" t="inlineStr">
        <is>
          <t>Simulation first.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8" customWidth="1" style="51" min="2" max="2"/>
    <col width="24" customWidth="1" style="51" min="3" max="3"/>
    <col width="34" customWidth="1" style="51" min="4" max="4"/>
    <col width="14" customWidth="1" style="51" min="5" max="5"/>
    <col width="24" customWidth="1" style="51" min="6" max="6"/>
    <col width="14" customWidth="1" style="51" min="7" max="7"/>
    <col width="42" customWidth="1" style="51" min="8" max="8"/>
  </cols>
  <sheetData>
    <row r="1">
      <c r="A1" s="259" t="inlineStr">
        <is>
          <t>Configuration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Parameter</t>
        </is>
      </c>
      <c r="B3" s="42" t="inlineStr">
        <is>
          <t>Default / Starting Value</t>
        </is>
      </c>
      <c r="C3" s="42" t="inlineStr">
        <is>
          <t>Where Used</t>
        </is>
      </c>
      <c r="D3" s="42" t="inlineStr">
        <is>
          <t>Reason</t>
        </is>
      </c>
      <c r="E3" s="42" t="inlineStr">
        <is>
          <t>Can Change?</t>
        </is>
      </c>
      <c r="F3" s="42" t="inlineStr">
        <is>
          <t>Updated Value</t>
        </is>
      </c>
      <c r="G3" s="42" t="inlineStr">
        <is>
          <t>Date Updated</t>
        </is>
      </c>
      <c r="H3" s="42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LoRa Frequency</t>
        </is>
      </c>
      <c r="B4" s="258" t="inlineStr">
        <is>
          <t>433 MHz / PH_433-compatible prototype setting</t>
        </is>
      </c>
      <c r="C4" s="258" t="inlineStr">
        <is>
          <t>ESP32 + Pi LoRa</t>
        </is>
      </c>
      <c r="D4" s="258" t="inlineStr">
        <is>
          <t>Available SX1278 Ra-02 hardware</t>
        </is>
      </c>
      <c r="E4" s="258" t="inlineStr">
        <is>
          <t>Yes</t>
        </is>
      </c>
      <c r="F4" s="258" t="str"/>
      <c r="G4" s="258" t="str"/>
      <c r="H4" s="258" t="inlineStr">
        <is>
          <t>Verify compliance for non-lab use.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LoRa TX Power</t>
        </is>
      </c>
      <c r="B5" s="258" t="inlineStr">
        <is>
          <t>Start low; do not maximize during lab tests</t>
        </is>
      </c>
      <c r="C5" s="258" t="inlineStr">
        <is>
          <t>ESP32 + Pi LoRa</t>
        </is>
      </c>
      <c r="D5" s="258" t="inlineStr">
        <is>
          <t>Reduce interference and stay conservative</t>
        </is>
      </c>
      <c r="E5" s="258" t="inlineStr">
        <is>
          <t>Yes</t>
        </is>
      </c>
      <c r="F5" s="258" t="str"/>
      <c r="G5" s="258" t="str"/>
      <c r="H5" s="258" t="inlineStr">
        <is>
          <t>Document exact dBm after firmware phase.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RSSI Degradation Threshold</t>
        </is>
      </c>
      <c r="B6" s="258" t="inlineStr">
        <is>
          <t>-78 dBm</t>
        </is>
      </c>
      <c r="C6" s="258" t="inlineStr">
        <is>
          <t>Routing/failover</t>
        </is>
      </c>
      <c r="D6" s="258" t="inlineStr">
        <is>
          <t>From project document; conservative quality threshold</t>
        </is>
      </c>
      <c r="E6" s="258" t="inlineStr">
        <is>
          <t>Yes</t>
        </is>
      </c>
      <c r="F6" s="258" t="str"/>
      <c r="G6" s="258" t="str"/>
      <c r="H6" s="258" t="inlineStr">
        <is>
          <t>Not hard LoRa failure threshold.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RSSI Critical Threshold</t>
        </is>
      </c>
      <c r="B7" s="258" t="inlineStr">
        <is>
          <t>-95 dBm</t>
        </is>
      </c>
      <c r="C7" s="258" t="inlineStr">
        <is>
          <t>Routing/failover</t>
        </is>
      </c>
      <c r="D7" s="258" t="inlineStr">
        <is>
          <t>More realistic LoRa degradation marker</t>
        </is>
      </c>
      <c r="E7" s="258" t="inlineStr">
        <is>
          <t>Yes</t>
        </is>
      </c>
      <c r="F7" s="258" t="str"/>
      <c r="G7" s="258" t="str"/>
      <c r="H7" s="258" t="inlineStr">
        <is>
          <t>Tune after field tests.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Failover Delay</t>
        </is>
      </c>
      <c r="B8" s="258" t="inlineStr">
        <is>
          <t>10 seconds</t>
        </is>
      </c>
      <c r="C8" s="258" t="inlineStr">
        <is>
          <t>Gateway logic</t>
        </is>
      </c>
      <c r="D8" s="258" t="inlineStr">
        <is>
          <t>From project document</t>
        </is>
      </c>
      <c r="E8" s="258" t="inlineStr">
        <is>
          <t>Yes</t>
        </is>
      </c>
      <c r="F8" s="258" t="str"/>
      <c r="G8" s="258" t="str"/>
      <c r="H8" s="258" t="inlineStr">
        <is>
          <t>Trigger after stable failure condition.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Recovery Stable Time</t>
        </is>
      </c>
      <c r="B9" s="258" t="inlineStr">
        <is>
          <t>10 seconds</t>
        </is>
      </c>
      <c r="C9" s="258" t="inlineStr">
        <is>
          <t>Gateway logic</t>
        </is>
      </c>
      <c r="D9" s="258" t="inlineStr">
        <is>
          <t>Avoid flapping</t>
        </is>
      </c>
      <c r="E9" s="258" t="inlineStr">
        <is>
          <t>Yes</t>
        </is>
      </c>
      <c r="F9" s="258" t="str"/>
      <c r="G9" s="258" t="str"/>
      <c r="H9" s="258" t="inlineStr">
        <is>
          <t>Revert only after stable link.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Satellite Sim Latency</t>
        </is>
      </c>
      <c r="B10" s="258" t="inlineStr">
        <is>
          <t>500-700 ms</t>
        </is>
      </c>
      <c r="C10" s="258" t="inlineStr">
        <is>
          <t>Pi tc/netem</t>
        </is>
      </c>
      <c r="D10" s="258" t="inlineStr">
        <is>
          <t>Project target</t>
        </is>
      </c>
      <c r="E10" s="258" t="inlineStr">
        <is>
          <t>Yes</t>
        </is>
      </c>
      <c r="F10" s="258" t="str"/>
      <c r="G10" s="258" t="str"/>
      <c r="H10" s="258" t="inlineStr">
        <is>
          <t>Apply on gateway interface.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Max Hop Count</t>
        </is>
      </c>
      <c r="B11" s="258" t="inlineStr">
        <is>
          <t>3</t>
        </is>
      </c>
      <c r="C11" s="258" t="inlineStr">
        <is>
          <t>ESP32 mesh</t>
        </is>
      </c>
      <c r="D11" s="258" t="inlineStr">
        <is>
          <t>Small six-node prototype</t>
        </is>
      </c>
      <c r="E11" s="258" t="inlineStr">
        <is>
          <t>Yes</t>
        </is>
      </c>
      <c r="F11" s="258" t="str"/>
      <c r="G11" s="258" t="str"/>
      <c r="H11" s="258" t="inlineStr">
        <is>
          <t>Increase only after testing.</t>
        </is>
      </c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ACK Retry Count</t>
        </is>
      </c>
      <c r="B12" s="258" t="inlineStr">
        <is>
          <t>3</t>
        </is>
      </c>
      <c r="C12" s="258" t="inlineStr">
        <is>
          <t>Messaging protocol</t>
        </is>
      </c>
      <c r="D12" s="258" t="inlineStr">
        <is>
          <t>Reliability vs airtime balance</t>
        </is>
      </c>
      <c r="E12" s="258" t="inlineStr">
        <is>
          <t>Yes</t>
        </is>
      </c>
      <c r="F12" s="258" t="str"/>
      <c r="G12" s="258" t="str"/>
      <c r="H12" s="258" t="inlineStr">
        <is>
          <t>Tune after PDR tests.</t>
        </is>
      </c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Destination Not Local Rule</t>
        </is>
      </c>
      <c r="B13" s="258" t="inlineStr">
        <is>
          <t>Route to next network via gateway</t>
        </is>
      </c>
      <c r="C13" s="258" t="inlineStr">
        <is>
          <t>Gateway logic</t>
        </is>
      </c>
      <c r="D13" s="258" t="inlineStr">
        <is>
          <t>User requirement</t>
        </is>
      </c>
      <c r="E13" s="258" t="inlineStr">
        <is>
          <t>No</t>
        </is>
      </c>
      <c r="F13" s="258" t="str"/>
      <c r="G13" s="258" t="str"/>
      <c r="H13" s="258" t="inlineStr">
        <is>
          <t>If destination unknown locally, forward to remote gateway.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62" t="inlineStr">
        <is>
          <t>Codex/GitHub Configuration Tracker</t>
        </is>
      </c>
      <c r="B15" s="1" t="n"/>
      <c r="C15" s="1" t="n"/>
      <c r="D15" s="1" t="n"/>
      <c r="E15" s="1" t="n"/>
      <c r="F15" s="1" t="n"/>
      <c r="G15" s="1" t="n"/>
      <c r="H15" s="1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04" t="inlineStr">
        <is>
          <t>Item</t>
        </is>
      </c>
      <c r="B16" s="204" t="inlineStr">
        <is>
          <t>Recommended Value</t>
        </is>
      </c>
      <c r="C16" s="204" t="inlineStr">
        <is>
          <t>Actual Value</t>
        </is>
      </c>
      <c r="D16" s="204" t="inlineStr">
        <is>
          <t>Where Set</t>
        </is>
      </c>
      <c r="E16" s="204" t="inlineStr">
        <is>
          <t>Owner</t>
        </is>
      </c>
      <c r="F16" s="204" t="inlineStr">
        <is>
          <t>Status</t>
        </is>
      </c>
      <c r="G16" s="204" t="inlineStr">
        <is>
          <t>Evidence</t>
        </is>
      </c>
      <c r="H16" s="204" t="inlineStr">
        <is>
          <t>Notes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GitHub Repository</t>
        </is>
      </c>
      <c r="B17" s="258" t="inlineStr">
        <is>
          <t>pup-manet-emergency-messaging</t>
        </is>
      </c>
      <c r="C17" s="258" t="str"/>
      <c r="D17" s="258" t="inlineStr">
        <is>
          <t>GitHub</t>
        </is>
      </c>
      <c r="E17" s="258" t="inlineStr">
        <is>
          <t>User</t>
        </is>
      </c>
      <c r="F17" s="258" t="inlineStr">
        <is>
          <t>Not Started</t>
        </is>
      </c>
      <c r="G17" s="258" t="inlineStr">
        <is>
          <t>Repo URL</t>
        </is>
      </c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Local Repo Path</t>
        </is>
      </c>
      <c r="B18" s="258" t="inlineStr">
        <is>
          <t>MacBook Pro local project folder</t>
        </is>
      </c>
      <c r="C18" s="258" t="str"/>
      <c r="D18" s="258" t="inlineStr">
        <is>
          <t>Mac Finder/Terminal</t>
        </is>
      </c>
      <c r="E18" s="258" t="inlineStr">
        <is>
          <t>User</t>
        </is>
      </c>
      <c r="F18" s="258" t="inlineStr">
        <is>
          <t>Not Started</t>
        </is>
      </c>
      <c r="G18" s="258" t="inlineStr">
        <is>
          <t>pwd output</t>
        </is>
      </c>
      <c r="H18" s="258" t="str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inlineStr">
        <is>
          <t>Codex Local Tool</t>
        </is>
      </c>
      <c r="B19" s="258" t="inlineStr">
        <is>
          <t>Installed on MacBook Pro M1 Max</t>
        </is>
      </c>
      <c r="C19" s="258" t="inlineStr">
        <is>
          <t>Installed</t>
        </is>
      </c>
      <c r="D19" s="258" t="inlineStr">
        <is>
          <t>Mac terminal</t>
        </is>
      </c>
      <c r="E19" s="258" t="inlineStr">
        <is>
          <t>User</t>
        </is>
      </c>
      <c r="F19" s="258" t="inlineStr">
        <is>
          <t>Available</t>
        </is>
      </c>
      <c r="G19" s="258" t="inlineStr">
        <is>
          <t>codex --version output</t>
        </is>
      </c>
      <c r="H19" s="258" t="inlineStr">
        <is>
          <t>User confirmed installed.</t>
        </is>
      </c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inlineStr">
        <is>
          <t>Codex Cloud/GitHub</t>
        </is>
      </c>
      <c r="B20" s="258" t="inlineStr">
        <is>
          <t>Connect repo to Codex when ready</t>
        </is>
      </c>
      <c r="C20" s="258" t="str"/>
      <c r="D20" s="258" t="inlineStr">
        <is>
          <t>Codex settings</t>
        </is>
      </c>
      <c r="E20" s="258" t="inlineStr">
        <is>
          <t>User</t>
        </is>
      </c>
      <c r="F20" s="258" t="inlineStr">
        <is>
          <t>Not Started</t>
        </is>
      </c>
      <c r="G20" s="258" t="inlineStr">
        <is>
          <t>Codex environment screenshot/link</t>
        </is>
      </c>
      <c r="H20" s="258" t="str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inlineStr">
        <is>
          <t>AGENTS.md</t>
        </is>
      </c>
      <c r="B21" s="258" t="inlineStr">
        <is>
          <t>Root-level project instructions file</t>
        </is>
      </c>
      <c r="C21" s="258" t="str"/>
      <c r="D21" s="258" t="inlineStr">
        <is>
          <t>Repo root</t>
        </is>
      </c>
      <c r="E21" s="258" t="inlineStr">
        <is>
          <t>Codex/User</t>
        </is>
      </c>
      <c r="F21" s="258" t="inlineStr">
        <is>
          <t>Not Started</t>
        </is>
      </c>
      <c r="G21" s="258" t="inlineStr">
        <is>
          <t>Commit hash</t>
        </is>
      </c>
      <c r="H21" s="258" t="str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inlineStr">
        <is>
          <t>Default Branch</t>
        </is>
      </c>
      <c r="B22" s="258" t="inlineStr">
        <is>
          <t>main</t>
        </is>
      </c>
      <c r="C22" s="258" t="str"/>
      <c r="D22" s="258" t="inlineStr">
        <is>
          <t>GitHub</t>
        </is>
      </c>
      <c r="E22" s="258" t="inlineStr">
        <is>
          <t>User</t>
        </is>
      </c>
      <c r="F22" s="258" t="inlineStr">
        <is>
          <t>Not Started</t>
        </is>
      </c>
      <c r="G22" s="258" t="inlineStr">
        <is>
          <t>GitHub screenshot</t>
        </is>
      </c>
      <c r="H22" s="258" t="str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inlineStr">
        <is>
          <t>Workbook Location</t>
        </is>
      </c>
      <c r="B23" s="258" t="inlineStr">
        <is>
          <t>docs/workbook/PUP_MANET_Implementation_Workbook.xlsx</t>
        </is>
      </c>
      <c r="C23" s="258" t="str"/>
      <c r="D23" s="258" t="inlineStr">
        <is>
          <t>GitHub repo</t>
        </is>
      </c>
      <c r="E23" s="258" t="inlineStr">
        <is>
          <t>User</t>
        </is>
      </c>
      <c r="F23" s="258" t="inlineStr">
        <is>
          <t>Not Started</t>
        </is>
      </c>
      <c r="G23" s="258" t="inlineStr">
        <is>
          <t>Commit hash</t>
        </is>
      </c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inlineStr">
        <is>
          <t>Diagrams Location</t>
        </is>
      </c>
      <c r="B24" s="258" t="inlineStr">
        <is>
          <t>docs/diagrams/</t>
        </is>
      </c>
      <c r="C24" s="258" t="str"/>
      <c r="D24" s="258" t="inlineStr">
        <is>
          <t>GitHub repo</t>
        </is>
      </c>
      <c r="E24" s="258" t="inlineStr">
        <is>
          <t>User</t>
        </is>
      </c>
      <c r="F24" s="258" t="inlineStr">
        <is>
          <t>Not Started</t>
        </is>
      </c>
      <c r="G24" s="258" t="inlineStr">
        <is>
          <t>Commit hash</t>
        </is>
      </c>
      <c r="H24" s="258" t="str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H1"/>
    <mergeCell ref="A15:H15"/>
  </mergeCells>
  <dataValidations count="1">
    <dataValidation sqref="F17:F2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50" customWidth="1" style="51" min="2" max="2"/>
    <col width="32" customWidth="1" style="51" min="3" max="3"/>
    <col width="14" customWidth="1" style="51" min="4" max="4"/>
    <col width="12" customWidth="1" style="51" min="5" max="5"/>
    <col width="35" customWidth="1" style="51" min="6" max="6"/>
    <col width="32" customWidth="1" style="51" min="7" max="7"/>
    <col width="32" customWidth="1" style="51" min="8" max="8"/>
  </cols>
  <sheetData>
    <row r="1">
      <c r="A1" s="44" t="inlineStr">
        <is>
          <t>Proposed Packet Protocol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Packet Type</t>
        </is>
      </c>
      <c r="B3" s="42" t="inlineStr">
        <is>
          <t>Required Fields</t>
        </is>
      </c>
      <c r="C3" s="42" t="inlineStr">
        <is>
          <t>Purpose</t>
        </is>
      </c>
      <c r="D3" s="42" t="inlineStr">
        <is>
          <t>ACK Required?</t>
        </is>
      </c>
      <c r="E3" s="42" t="inlineStr">
        <is>
          <t>Stored?</t>
        </is>
      </c>
      <c r="F3" s="42" t="inlineStr">
        <is>
          <t>Example</t>
        </is>
      </c>
      <c r="G3" s="42" t="inlineStr">
        <is>
          <t>ESP32 Role</t>
        </is>
      </c>
      <c r="H3" s="42" t="inlineStr">
        <is>
          <t>Gateway Role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HELLO</t>
        </is>
      </c>
      <c r="B4" s="258" t="inlineStr">
        <is>
          <t>type,node_id,network_id,battery,rssi_last,snr_last,uptime</t>
        </is>
      </c>
      <c r="C4" s="258" t="inlineStr">
        <is>
          <t>Neighbor discovery and health</t>
        </is>
      </c>
      <c r="D4" s="258" t="inlineStr">
        <is>
          <t>No</t>
        </is>
      </c>
      <c r="E4" s="258" t="inlineStr">
        <is>
          <t>Latest only</t>
        </is>
      </c>
      <c r="F4" s="258" t="inlineStr">
        <is>
          <t>HELLO A1 NET_A batt=82</t>
        </is>
      </c>
      <c r="G4" s="258" t="inlineStr">
        <is>
          <t>Broadcast periodically</t>
        </is>
      </c>
      <c r="H4" s="258" t="inlineStr">
        <is>
          <t>Update node table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MSG</t>
        </is>
      </c>
      <c r="B5" s="258" t="inlineStr">
        <is>
          <t>type,msg_id,src,dst,network_id,payload,ttl,path,timestamp</t>
        </is>
      </c>
      <c r="C5" s="258" t="inlineStr">
        <is>
          <t>User text message</t>
        </is>
      </c>
      <c r="D5" s="258" t="inlineStr">
        <is>
          <t>Yes</t>
        </is>
      </c>
      <c r="E5" s="258" t="inlineStr">
        <is>
          <t>Yes</t>
        </is>
      </c>
      <c r="F5" s="258" t="inlineStr">
        <is>
          <t>A1 to B2: emergency text</t>
        </is>
      </c>
      <c r="G5" s="258" t="inlineStr">
        <is>
          <t>Forward/receive/ACK</t>
        </is>
      </c>
      <c r="H5" s="258" t="inlineStr">
        <is>
          <t>Route local or remote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ACK</t>
        </is>
      </c>
      <c r="B6" s="258" t="inlineStr">
        <is>
          <t>type,msg_id,src,dst,status,path,timestamp</t>
        </is>
      </c>
      <c r="C6" s="258" t="inlineStr">
        <is>
          <t>Confirm delivery or relay acceptance</t>
        </is>
      </c>
      <c r="D6" s="258" t="inlineStr">
        <is>
          <t>No</t>
        </is>
      </c>
      <c r="E6" s="258" t="inlineStr">
        <is>
          <t>Yes</t>
        </is>
      </c>
      <c r="F6" s="258" t="inlineStr">
        <is>
          <t>ACK for MSG123</t>
        </is>
      </c>
      <c r="G6" s="258" t="inlineStr">
        <is>
          <t>Return to previous hop</t>
        </is>
      </c>
      <c r="H6" s="258" t="inlineStr">
        <is>
          <t>Update delivery state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ROUTE_ADV</t>
        </is>
      </c>
      <c r="B7" s="258" t="inlineStr">
        <is>
          <t>type,gateway_id,network_id,metric,hop_count</t>
        </is>
      </c>
      <c r="C7" s="258" t="inlineStr">
        <is>
          <t>Gateway/route advertisement</t>
        </is>
      </c>
      <c r="D7" s="258" t="inlineStr">
        <is>
          <t>No</t>
        </is>
      </c>
      <c r="E7" s="258" t="inlineStr">
        <is>
          <t>Latest only</t>
        </is>
      </c>
      <c r="F7" s="258" t="inlineStr">
        <is>
          <t>GWA advertises NET_A</t>
        </is>
      </c>
      <c r="G7" s="258" t="inlineStr">
        <is>
          <t>Store route score</t>
        </is>
      </c>
      <c r="H7" s="258" t="inlineStr">
        <is>
          <t>Advertise network reachability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NACK</t>
        </is>
      </c>
      <c r="B8" s="258" t="inlineStr">
        <is>
          <t>type,msg_id,reason,last_hop</t>
        </is>
      </c>
      <c r="C8" s="258" t="inlineStr">
        <is>
          <t>Signal failure</t>
        </is>
      </c>
      <c r="D8" s="258" t="inlineStr">
        <is>
          <t>No</t>
        </is>
      </c>
      <c r="E8" s="258" t="inlineStr">
        <is>
          <t>Yes</t>
        </is>
      </c>
      <c r="F8" s="258" t="inlineStr">
        <is>
          <t>Destination unreachable</t>
        </is>
      </c>
      <c r="G8" s="258" t="inlineStr">
        <is>
          <t>Try alternate route</t>
        </is>
      </c>
      <c r="H8" s="258" t="inlineStr">
        <is>
          <t>Trigger gateway forwarding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2" customWidth="1" style="51" min="2" max="2"/>
    <col width="36" customWidth="1" style="51" min="3" max="3"/>
    <col width="34" customWidth="1" style="51" min="4" max="4"/>
    <col width="34" customWidth="1" style="51" min="5" max="5"/>
    <col width="34" customWidth="1" style="51" min="6" max="6"/>
    <col width="24" customWidth="1" style="51" min="7" max="7"/>
    <col width="16" customWidth="1" style="51" min="8" max="8"/>
  </cols>
  <sheetData>
    <row r="1">
      <c r="A1" s="267" t="inlineStr">
        <is>
          <t>Routing &amp; Failover Logic - Test-Aligned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Mode</t>
        </is>
      </c>
      <c r="B3" s="169" t="inlineStr">
        <is>
          <t>Trigger</t>
        </is>
      </c>
      <c r="C3" s="169" t="inlineStr">
        <is>
          <t>Primary Action</t>
        </is>
      </c>
      <c r="D3" s="169" t="inlineStr">
        <is>
          <t>Fallback Action</t>
        </is>
      </c>
      <c r="E3" s="169" t="inlineStr">
        <is>
          <t>Required Log Fields</t>
        </is>
      </c>
      <c r="F3" s="169" t="inlineStr">
        <is>
          <t>Acceptance Criteria</t>
        </is>
      </c>
      <c r="G3" s="169" t="inlineStr">
        <is>
          <t>Development Phase</t>
        </is>
      </c>
      <c r="H3" s="169" t="inlineStr">
        <is>
          <t>Status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</t>
        </is>
      </c>
      <c r="B4" t="inlineStr">
        <is>
          <t>Startup / stable links</t>
        </is>
      </c>
      <c r="C4" t="inlineStr">
        <is>
          <t>6 nodes discover neighbors and exchange LoRa messages</t>
        </is>
      </c>
      <c r="D4" t="inlineStr">
        <is>
          <t>Keep simulated satellite inactive</t>
        </is>
      </c>
      <c r="E4" t="inlineStr">
        <is>
          <t>startup_time, neighbor_count, pdr, rssi, snr</t>
        </is>
      </c>
      <c r="F4" t="inlineStr">
        <is>
          <t>MANET forms ≤30 sec; PDR ≥95%; satellite inactive</t>
        </is>
      </c>
      <c r="G4" t="inlineStr">
        <is>
          <t>ESP32 + RPi simulation</t>
        </is>
      </c>
      <c r="H4" t="inlineStr">
        <is>
          <t>Pending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Degradation Detection</t>
        </is>
      </c>
      <c r="B5" t="inlineStr">
        <is>
          <t>RSSI &lt; -78 dBm for 10 sec or repeated ACK failure</t>
        </is>
      </c>
      <c r="C5" t="inlineStr">
        <is>
          <t>Mark route degraded; record event</t>
        </is>
      </c>
      <c r="D5" t="inlineStr">
        <is>
          <t>Prepare gateway failover route</t>
        </is>
      </c>
      <c r="E5" t="inlineStr">
        <is>
          <t>rssi_min, snr, ack_fail_count, degrade_start, degrade_end</t>
        </is>
      </c>
      <c r="F5" t="inlineStr">
        <is>
          <t>Degradation detected after 10 sec</t>
        </is>
      </c>
      <c r="G5" t="inlineStr">
        <is>
          <t>ESP32 + RPi simulation</t>
        </is>
      </c>
      <c r="H5" t="inlineStr">
        <is>
          <t>Pending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Route unavailable or destination not found locally</t>
        </is>
      </c>
      <c r="C6" t="inlineStr">
        <is>
          <t>Gateway forwards via WiFi-router simulated satellite</t>
        </is>
      </c>
      <c r="D6" t="inlineStr">
        <is>
          <t>Use GSM only if explicitly selected/available</t>
        </is>
      </c>
      <c r="E6" t="inlineStr">
        <is>
          <t>failover_start, failover_end, route_used, queue_depth</t>
        </is>
      </c>
      <c r="F6" t="inlineStr">
        <is>
          <t>Failover trigger time = 10 sec</t>
        </is>
      </c>
      <c r="G6" t="inlineStr">
        <is>
          <t>RPi gateway</t>
        </is>
      </c>
      <c r="H6" t="inlineStr">
        <is>
          <t>Pending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Store &amp; Forward</t>
        </is>
      </c>
      <c r="B7" t="inlineStr">
        <is>
          <t>High latency or receiver unavailable</t>
        </is>
      </c>
      <c r="C7" t="inlineStr">
        <is>
          <t>Queue messages and retry until ACK</t>
        </is>
      </c>
      <c r="D7" t="inlineStr">
        <is>
          <t>Preserve FIFO order</t>
        </is>
      </c>
      <c r="E7" t="inlineStr">
        <is>
          <t>message_id, retry_count, queue_time, ack_time</t>
        </is>
      </c>
      <c r="F7" t="inlineStr">
        <is>
          <t>No message loss during recovery test</t>
        </is>
      </c>
      <c r="G7" t="inlineStr">
        <is>
          <t>RPi gateway</t>
        </is>
      </c>
      <c r="H7" t="inlineStr">
        <is>
          <t>Pending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</t>
        </is>
      </c>
      <c r="B8" t="inlineStr">
        <is>
          <t>MANET route stable for 10 sec</t>
        </is>
      </c>
      <c r="C8" t="inlineStr">
        <is>
          <t>Switch back to primary LoRa route</t>
        </is>
      </c>
      <c r="D8" t="inlineStr">
        <is>
          <t>Deactivate simulated satellite path for normal traffic</t>
        </is>
      </c>
      <c r="E8" t="inlineStr">
        <is>
          <t>recovery_start, recovery_end, route_before, route_after</t>
        </is>
      </c>
      <c r="F8" t="inlineStr">
        <is>
          <t>Switchback ≤5 sec; no message loss</t>
        </is>
      </c>
      <c r="G8" t="inlineStr">
        <is>
          <t>RPi gateway</t>
        </is>
      </c>
      <c r="H8" t="inlineStr">
        <is>
          <t>Pending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Manual App Selection</t>
        </is>
      </c>
      <c r="B9" t="inlineStr">
        <is>
          <t>User selects LoRa / WiFi / GSM</t>
        </is>
      </c>
      <c r="C9" t="inlineStr">
        <is>
          <t>Use selected interface when available</t>
        </is>
      </c>
      <c r="D9" t="inlineStr">
        <is>
          <t>Show unavailable warning if selected path fails</t>
        </is>
      </c>
      <c r="E9" t="inlineStr">
        <is>
          <t>selected_network, actual_network, error</t>
        </is>
      </c>
      <c r="F9" t="inlineStr">
        <is>
          <t>Manual mode must not break Auto mode tests</t>
        </is>
      </c>
      <c r="G9" t="inlineStr">
        <is>
          <t>Android app</t>
        </is>
      </c>
      <c r="H9" t="inlineStr">
        <is>
          <t>Pending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5" customWidth="1" style="51" min="2" max="2"/>
    <col width="24" customWidth="1" style="51" min="3" max="3"/>
    <col width="24" customWidth="1" style="51" min="4" max="4"/>
    <col width="32" customWidth="1" style="51" min="5" max="5"/>
    <col width="32" customWidth="1" style="51" min="6" max="6"/>
    <col width="12" customWidth="1" style="51" min="7" max="7"/>
    <col width="14" customWidth="1" style="51" min="8" max="8"/>
    <col width="34" customWidth="1" style="51" min="9" max="9"/>
  </cols>
  <sheetData>
    <row r="1">
      <c r="A1" s="44" t="inlineStr">
        <is>
          <t>Simulation-First Development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Simulation Item</t>
        </is>
      </c>
      <c r="B3" s="42" t="inlineStr">
        <is>
          <t>Description</t>
        </is>
      </c>
      <c r="C3" s="42" t="inlineStr">
        <is>
          <t>Output File/Module</t>
        </is>
      </c>
      <c r="D3" s="42" t="inlineStr">
        <is>
          <t>Inputs</t>
        </is>
      </c>
      <c r="E3" s="42" t="inlineStr">
        <is>
          <t>Expected Output</t>
        </is>
      </c>
      <c r="F3" s="42" t="inlineStr">
        <is>
          <t>Pass Criteria</t>
        </is>
      </c>
      <c r="G3" s="42" t="inlineStr">
        <is>
          <t>Priority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Node simulator</t>
        </is>
      </c>
      <c r="B4" s="258" t="inlineStr">
        <is>
          <t>Emulates ESP32 node behavior: HELLO, MSG, ACK, retry, battery</t>
        </is>
      </c>
      <c r="C4" s="258" t="inlineStr">
        <is>
          <t>sim_node.py</t>
        </is>
      </c>
      <c r="D4" s="258" t="inlineStr">
        <is>
          <t>Node ID, network ID, links</t>
        </is>
      </c>
      <c r="E4" s="258" t="inlineStr">
        <is>
          <t>Console/log packets</t>
        </is>
      </c>
      <c r="F4" s="258" t="inlineStr">
        <is>
          <t>6 nodes run simultaneously</t>
        </is>
      </c>
      <c r="G4" s="258" t="inlineStr">
        <is>
          <t>High</t>
        </is>
      </c>
      <c r="H4" s="258" t="inlineStr">
        <is>
          <t>Not Started</t>
        </is>
      </c>
      <c r="I4" s="258" t="str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Gateway simulator</t>
        </is>
      </c>
      <c r="B5" s="258" t="inlineStr">
        <is>
          <t>Emulates Pi gateway and inter-network routing</t>
        </is>
      </c>
      <c r="C5" s="258" t="inlineStr">
        <is>
          <t>sim_gateway.py</t>
        </is>
      </c>
      <c r="D5" s="258" t="inlineStr">
        <is>
          <t>GWA/GWB config</t>
        </is>
      </c>
      <c r="E5" s="258" t="inlineStr">
        <is>
          <t>Routes unknown destinations to other network</t>
        </is>
      </c>
      <c r="F5" s="258" t="inlineStr">
        <is>
          <t>A1 to B2 delivery works</t>
        </is>
      </c>
      <c r="G5" s="258" t="inlineStr">
        <is>
          <t>High</t>
        </is>
      </c>
      <c r="H5" s="258" t="inlineStr">
        <is>
          <t>Not Started</t>
        </is>
      </c>
      <c r="I5" s="258" t="str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Network fault simulator</t>
        </is>
      </c>
      <c r="B6" s="258" t="inlineStr">
        <is>
          <t>Drops packets, lowers RSSI, adds delay</t>
        </is>
      </c>
      <c r="C6" s="258" t="inlineStr">
        <is>
          <t>sim_faults.py</t>
        </is>
      </c>
      <c r="D6" s="258" t="inlineStr">
        <is>
          <t>Fault profile</t>
        </is>
      </c>
      <c r="E6" s="258" t="inlineStr">
        <is>
          <t>Failover/recovery events</t>
        </is>
      </c>
      <c r="F6" s="258" t="inlineStr">
        <is>
          <t>Failover at 10s</t>
        </is>
      </c>
      <c r="G6" s="258" t="inlineStr">
        <is>
          <t>High</t>
        </is>
      </c>
      <c r="H6" s="258" t="inlineStr">
        <is>
          <t>Not Started</t>
        </is>
      </c>
      <c r="I6" s="258" t="str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Message store</t>
        </is>
      </c>
      <c r="B7" s="258" t="inlineStr">
        <is>
          <t>SQLite or JSONL logs for messages and events</t>
        </is>
      </c>
      <c r="C7" s="258" t="inlineStr">
        <is>
          <t>messages.db/logs</t>
        </is>
      </c>
      <c r="D7" s="258" t="inlineStr">
        <is>
          <t>Packets/events</t>
        </is>
      </c>
      <c r="E7" s="258" t="inlineStr">
        <is>
          <t>Traceable delivery status</t>
        </is>
      </c>
      <c r="F7" s="258" t="inlineStr">
        <is>
          <t>No duplicate delivered messages</t>
        </is>
      </c>
      <c r="G7" s="258" t="inlineStr">
        <is>
          <t>High</t>
        </is>
      </c>
      <c r="H7" s="258" t="inlineStr">
        <is>
          <t>Not Started</t>
        </is>
      </c>
      <c r="I7" s="258" t="str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Dashboard mock</t>
        </is>
      </c>
      <c r="B8" s="258" t="inlineStr">
        <is>
          <t>Optional local web view for simulation</t>
        </is>
      </c>
      <c r="C8" s="258" t="inlineStr">
        <is>
          <t>Flask app</t>
        </is>
      </c>
      <c r="D8" s="258" t="inlineStr">
        <is>
          <t>Sim state</t>
        </is>
      </c>
      <c r="E8" s="258" t="inlineStr">
        <is>
          <t>Node and route display</t>
        </is>
      </c>
      <c r="F8" s="258" t="inlineStr">
        <is>
          <t>Usable before hardware</t>
        </is>
      </c>
      <c r="G8" s="258" t="inlineStr">
        <is>
          <t>Medium</t>
        </is>
      </c>
      <c r="H8" s="258" t="inlineStr">
        <is>
          <t>Not Started</t>
        </is>
      </c>
      <c r="I8" s="258" t="str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35" customWidth="1" style="51" min="2" max="2"/>
    <col width="38" customWidth="1" style="51" min="3" max="3"/>
    <col width="28" customWidth="1" style="51" min="4" max="4"/>
    <col width="24" customWidth="1" style="51" min="5" max="5"/>
    <col width="20" customWidth="1" style="51" min="6" max="6"/>
    <col width="16" customWidth="1" style="51" min="7" max="7"/>
    <col width="45" customWidth="1" style="51" min="8" max="8"/>
  </cols>
  <sheetData>
    <row r="1">
      <c r="A1" s="267" t="inlineStr">
        <is>
          <t>Android Messaging App Plan - Bluetooth / WiFi / GSM / LoRa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Feature</t>
        </is>
      </c>
      <c r="B3" s="169" t="inlineStr">
        <is>
          <t>Purpose</t>
        </is>
      </c>
      <c r="C3" s="169" t="inlineStr">
        <is>
          <t>Minimum Requirement</t>
        </is>
      </c>
      <c r="D3" s="169" t="inlineStr">
        <is>
          <t>Test Impact</t>
        </is>
      </c>
      <c r="E3" s="169" t="inlineStr">
        <is>
          <t>Interface</t>
        </is>
      </c>
      <c r="F3" s="169" t="inlineStr">
        <is>
          <t>Phase</t>
        </is>
      </c>
      <c r="G3" s="169" t="inlineStr">
        <is>
          <t>Status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Bluetooth pairing to ESP32 node</t>
        </is>
      </c>
      <c r="B4" t="inlineStr">
        <is>
          <t>Route messages to LoRa when WiFi/GSM are unavailable</t>
        </is>
      </c>
      <c r="C4" t="inlineStr">
        <is>
          <t>Pair one phone to one MANET node; reconnect automatically</t>
        </is>
      </c>
      <c r="D4" t="inlineStr">
        <is>
          <t>Required for end-to-end LoRa validation</t>
        </is>
      </c>
      <c r="E4" t="inlineStr">
        <is>
          <t>Bluetooth Serial/BLE</t>
        </is>
      </c>
      <c r="F4" t="inlineStr">
        <is>
          <t>Android Phase 1</t>
        </is>
      </c>
      <c r="G4" t="inlineStr">
        <is>
          <t>Pending</t>
        </is>
      </c>
      <c r="H4" t="inlineStr">
        <is>
          <t>Start with classic Bluetooth SPP if ESP32 Android compatibility is acceptable; BLE if needed.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Auto network selection</t>
        </is>
      </c>
      <c r="B5" t="inlineStr">
        <is>
          <t>Select best available route</t>
        </is>
      </c>
      <c r="C5" t="inlineStr">
        <is>
          <t>Check WiFi, GSM, Bluetooth-LoRa status</t>
        </is>
      </c>
      <c r="D5" t="inlineStr">
        <is>
          <t>Supports degraded/failover behavior</t>
        </is>
      </c>
      <c r="E5" t="inlineStr">
        <is>
          <t>Android network APIs + BT status</t>
        </is>
      </c>
      <c r="F5" t="inlineStr">
        <is>
          <t>Android Phase 2</t>
        </is>
      </c>
      <c r="G5" t="inlineStr">
        <is>
          <t>Pending</t>
        </is>
      </c>
      <c r="H5" t="inlineStr">
        <is>
          <t>Auto should prefer local WiFi when valid, then GSM, then LoRa depending on policy; tests can force LoRa.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route selection</t>
        </is>
      </c>
      <c r="B6" t="inlineStr">
        <is>
          <t>User can choose LoRa, WiFi, or GSM</t>
        </is>
      </c>
      <c r="C6" t="inlineStr">
        <is>
          <t>Dropdown or segmented control</t>
        </is>
      </c>
      <c r="D6" t="inlineStr">
        <is>
          <t>Allows controlled test cases</t>
        </is>
      </c>
      <c r="E6" t="inlineStr">
        <is>
          <t>UI setting</t>
        </is>
      </c>
      <c r="F6" t="inlineStr">
        <is>
          <t>Android Phase 2</t>
        </is>
      </c>
      <c r="G6" t="inlineStr">
        <is>
          <t>Pending</t>
        </is>
      </c>
      <c r="H6" t="inlineStr">
        <is>
          <t>Manual setting must show selected and actual route.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Message status</t>
        </is>
      </c>
      <c r="B7" t="inlineStr">
        <is>
          <t>Show sent, queued, delivered, failed</t>
        </is>
      </c>
      <c r="C7" t="inlineStr">
        <is>
          <t>Display ACK state and route used</t>
        </is>
      </c>
      <c r="D7" t="inlineStr">
        <is>
          <t>Needed for validation evidence</t>
        </is>
      </c>
      <c r="E7" t="inlineStr">
        <is>
          <t>Gateway/API + BT response</t>
        </is>
      </c>
      <c r="F7" t="inlineStr">
        <is>
          <t>Android Phase 2</t>
        </is>
      </c>
      <c r="G7" t="inlineStr">
        <is>
          <t>Pending</t>
        </is>
      </c>
      <c r="H7" t="inlineStr">
        <is>
          <t>Keep message IDs visible in debug mode.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Simulation mode</t>
        </is>
      </c>
      <c r="B8" t="inlineStr">
        <is>
          <t>Test without real radios</t>
        </is>
      </c>
      <c r="C8" t="inlineStr">
        <is>
          <t>Mock route status and message delivery</t>
        </is>
      </c>
      <c r="D8" t="inlineStr">
        <is>
          <t>Used before hardware testing</t>
        </is>
      </c>
      <c r="E8" t="inlineStr">
        <is>
          <t>Local mock service</t>
        </is>
      </c>
      <c r="F8" t="inlineStr">
        <is>
          <t>Android Phase 0</t>
        </is>
      </c>
      <c r="G8" t="inlineStr">
        <is>
          <t>Pending</t>
        </is>
      </c>
      <c r="H8" t="inlineStr">
        <is>
          <t>Important because development starts in simulation.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2" customWidth="1" style="51" min="2" max="2"/>
    <col width="36" customWidth="1" style="51" min="3" max="3"/>
    <col width="38" customWidth="1" style="51" min="4" max="4"/>
    <col width="32" customWidth="1" style="51" min="5" max="5"/>
    <col width="36" customWidth="1" style="51" min="6" max="6"/>
    <col width="32" customWidth="1" style="51" min="7" max="7"/>
    <col width="32" customWidth="1" style="51" min="8" max="8"/>
    <col width="30" customWidth="1" style="51" min="9" max="9"/>
    <col width="16" customWidth="1" style="51" min="10" max="10"/>
  </cols>
  <sheetData>
    <row r="1">
      <c r="A1" s="267" t="inlineStr">
        <is>
          <t>Test Campaign - Pass/Fail Mapping to Updated Diagrams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Test</t>
        </is>
      </c>
      <c r="B3" s="169" t="inlineStr">
        <is>
          <t>System Mode</t>
        </is>
      </c>
      <c r="C3" s="169" t="inlineStr">
        <is>
          <t>Required Setup</t>
        </is>
      </c>
      <c r="D3" s="169" t="inlineStr">
        <is>
          <t>Procedure Focus</t>
        </is>
      </c>
      <c r="E3" s="169" t="inlineStr">
        <is>
          <t>Measured Parameters</t>
        </is>
      </c>
      <c r="F3" s="169" t="inlineStr">
        <is>
          <t>Acceptance Criteria</t>
        </is>
      </c>
      <c r="G3" s="169" t="inlineStr">
        <is>
          <t>Diagram Reference</t>
        </is>
      </c>
      <c r="H3" s="169" t="inlineStr">
        <is>
          <t>Workbook Reference</t>
        </is>
      </c>
      <c r="I3" s="169" t="inlineStr">
        <is>
          <t>Evidence to Capture</t>
        </is>
      </c>
      <c r="J3" s="169" t="inlineStr">
        <is>
          <t>Status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 Operation</t>
        </is>
      </c>
      <c r="B4" t="inlineStr">
        <is>
          <t>Normal LoRa MANET</t>
        </is>
      </c>
      <c r="C4" t="inlineStr">
        <is>
          <t>6 ESP32 LoRa nodes, 2 gateways, satellite routers inactive</t>
        </is>
      </c>
      <c r="D4" t="inlineStr">
        <is>
          <t>Auto-discovery and periodic text packets</t>
        </is>
      </c>
      <c r="E4" t="inlineStr">
        <is>
          <t>RSSI, SNR, hop count, PDR, latency</t>
        </is>
      </c>
      <c r="F4" t="inlineStr">
        <is>
          <t>PDR ≥95%; MANET forms ≤30 sec; satellite inactive</t>
        </is>
      </c>
      <c r="G4" t="inlineStr">
        <is>
          <t>System Diagram + Data Flow steps 1-4</t>
        </is>
      </c>
      <c r="H4" t="inlineStr">
        <is>
          <t>Routing &amp; Failover row Baseline</t>
        </is>
      </c>
      <c r="I4" t="inlineStr">
        <is>
          <t>Startup logs, PDR report, screenshot</t>
        </is>
      </c>
      <c r="J4" t="inlineStr">
        <is>
          <t>Pending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Network Degradation Detection</t>
        </is>
      </c>
      <c r="B5" t="inlineStr">
        <is>
          <t>Degraded MANET</t>
        </is>
      </c>
      <c r="C5" t="inlineStr">
        <is>
          <t>Same as baseline with distance/attenuation introduced</t>
        </is>
      </c>
      <c r="D5" t="inlineStr">
        <is>
          <t>Lower RSSI until threshold condition</t>
        </is>
      </c>
      <c r="E5" t="inlineStr">
        <is>
          <t>RSSI trend, detection time, route change</t>
        </is>
      </c>
      <c r="F5" t="inlineStr">
        <is>
          <t>RSSI &lt; -78 dBm for 10 sec must be detected</t>
        </is>
      </c>
      <c r="G5" t="inlineStr">
        <is>
          <t>Control Logic block</t>
        </is>
      </c>
      <c r="H5" t="inlineStr">
        <is>
          <t>Routing &amp; Failover row Degradation Detection</t>
        </is>
      </c>
      <c r="I5" t="inlineStr">
        <is>
          <t>RSSI log graph/table</t>
        </is>
      </c>
      <c r="J5" t="inlineStr">
        <is>
          <t>Pending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Failover via simulated satellite</t>
        </is>
      </c>
      <c r="C6" t="inlineStr">
        <is>
          <t>MANET active, WiFi router-to-router link available</t>
        </is>
      </c>
      <c r="D6" t="inlineStr">
        <is>
          <t>Route unavailable or destination not found locally</t>
        </is>
      </c>
      <c r="E6" t="inlineStr">
        <is>
          <t>Trigger time, gateway status, queue depth</t>
        </is>
      </c>
      <c r="F6" t="inlineStr">
        <is>
          <t>Failover trigger time = 10 sec</t>
        </is>
      </c>
      <c r="G6" t="inlineStr">
        <is>
          <t>System Diagram failover path; Data Flow step 5</t>
        </is>
      </c>
      <c r="H6" t="inlineStr">
        <is>
          <t>Routing &amp; Failover row Failover Activation</t>
        </is>
      </c>
      <c r="I6" t="inlineStr">
        <is>
          <t>Gateway logs + message delivery proof</t>
        </is>
      </c>
      <c r="J6" t="inlineStr">
        <is>
          <t>Pending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Sustained Emergency Operation</t>
        </is>
      </c>
      <c r="B7" t="inlineStr">
        <is>
          <t>Emergency operation</t>
        </is>
      </c>
      <c r="C7" t="inlineStr">
        <is>
          <t>Battery-powered nodes and gateways running</t>
        </is>
      </c>
      <c r="D7" t="inlineStr">
        <is>
          <t>Run for 24 hours with controlled events</t>
        </is>
      </c>
      <c r="E7" t="inlineStr">
        <is>
          <t>Uptime, battery, route stability, queue health</t>
        </is>
      </c>
      <c r="F7" t="inlineStr">
        <is>
          <t>Uptime ≥80%; no crash/deadlock</t>
        </is>
      </c>
      <c r="G7" t="inlineStr">
        <is>
          <t>System Diagram test-critical logic</t>
        </is>
      </c>
      <c r="H7" t="inlineStr">
        <is>
          <t>Simulation Plan + Progress Tracker</t>
        </is>
      </c>
      <c r="I7" t="inlineStr">
        <is>
          <t>24-hour service logs</t>
        </is>
      </c>
      <c r="J7" t="inlineStr">
        <is>
          <t>Pending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 and Reversion</t>
        </is>
      </c>
      <c r="B8" t="inlineStr">
        <is>
          <t>Recovery mode</t>
        </is>
      </c>
      <c r="C8" t="inlineStr">
        <is>
          <t>Start in failover, then restore MANET link quality</t>
        </is>
      </c>
      <c r="D8" t="inlineStr">
        <is>
          <t>Stable RSSI for 10 sec then switch back</t>
        </is>
      </c>
      <c r="E8" t="inlineStr">
        <is>
          <t>Recovery time, packet loss, route before/after</t>
        </is>
      </c>
      <c r="F8" t="inlineStr">
        <is>
          <t>Switchback ≤5 sec; no message loss</t>
        </is>
      </c>
      <c r="G8" t="inlineStr">
        <is>
          <t>Data Flow recovery row</t>
        </is>
      </c>
      <c r="H8" t="inlineStr">
        <is>
          <t>Routing &amp; Failover row Recovery</t>
        </is>
      </c>
      <c r="I8" t="inlineStr">
        <is>
          <t>Route-change logs + message ACKs</t>
        </is>
      </c>
      <c r="J8" t="inlineStr">
        <is>
          <t>Pending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dataValidations count="1">
    <dataValidation sqref="H4:H100" showDropDown="0" showInputMessage="0" showErrorMessage="0" allowBlank="0" type="list">
      <formula1>"Not Started,In Progress,Pass,Fail,Blocked"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45" customWidth="1" style="51" min="3" max="3"/>
    <col width="36" customWidth="1" style="51" min="4" max="4"/>
    <col width="28" customWidth="1" style="51" min="5" max="5"/>
    <col width="18" customWidth="1" style="51" min="6" max="6"/>
    <col width="24" customWidth="1" style="51" min="7" max="7"/>
    <col width="4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44" t="inlineStr">
        <is>
          <t>Progress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Date</t>
        </is>
      </c>
      <c r="B3" s="42" t="inlineStr">
        <is>
          <t>Step ID</t>
        </is>
      </c>
      <c r="C3" s="42" t="inlineStr">
        <is>
          <t>What Was Done</t>
        </is>
      </c>
      <c r="D3" s="42" t="inlineStr">
        <is>
          <t>Result</t>
        </is>
      </c>
      <c r="E3" s="42" t="inlineStr">
        <is>
          <t>Evidence</t>
        </is>
      </c>
      <c r="F3" s="42" t="inlineStr">
        <is>
          <t>Updated By</t>
        </is>
      </c>
      <c r="G3" s="42" t="inlineStr">
        <is>
          <t>Next Step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69" t="inlineStr">
        <is>
          <t>2026-05-12</t>
        </is>
      </c>
      <c r="B4" s="270" t="inlineStr">
        <is>
          <t>STEP 023</t>
        </is>
      </c>
      <c r="C4" s="269" t="inlineStr">
        <is>
          <t>Completed end-to-end Android to LoRa to Android hardware bridge using two Android phones and two ESP32 LoRa nodes.</t>
        </is>
      </c>
      <c r="D4" s="270" t="inlineStr">
        <is>
          <t>Completed</t>
        </is>
      </c>
      <c r="E4" s="269" t="inlineStr">
        <is>
          <t>NodeA/NodeB terminal logs: BT_RX, LORA_TX BT1 relay, LORA_RX, LORA_PROTOCOL_RX, BT_TX_FROM_LORA; commit 38e7b57.</t>
        </is>
      </c>
      <c r="F4" s="269" t="inlineStr">
        <is>
          <t>Codex + User</t>
        </is>
      </c>
      <c r="G4" s="269" t="inlineStr">
        <is>
          <t>STEP 024 - Raspberry Pi Gateway Integration</t>
        </is>
      </c>
      <c r="H4" s="269" t="inlineStr">
        <is>
          <t>Specific-node messaging validated. Broadcast and GSM remain later workbook work.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69" t="inlineStr">
        <is>
          <t>2026-05-12</t>
        </is>
      </c>
      <c r="B5" s="270" t="inlineStr">
        <is>
          <t>STEP 024</t>
        </is>
      </c>
      <c r="C5" s="269" t="inlineStr">
        <is>
          <t>Created Raspberry Pi gateway simulation baseline in rpi-gateway with six nodes, two gateways, WiFi-router simulated satellite path, buffering, ACK, failover, and recovery.</t>
        </is>
      </c>
      <c r="D5" s="270" t="inlineStr">
        <is>
          <t>Completed - simulation baseline</t>
        </is>
      </c>
      <c r="E5" s="269" t="inlineStr">
        <is>
          <t>python3 run_simulation.py succeeded; python3 -m unittest discover -s tests passed 6 tests; compileall succeeded; commit 6bea5a5.</t>
        </is>
      </c>
      <c r="F5" s="269" t="inlineStr">
        <is>
          <t>Codex</t>
        </is>
      </c>
      <c r="G5" s="269" t="inlineStr">
        <is>
          <t>Next workbook step after Step 024</t>
        </is>
      </c>
      <c r="H5" s="269" t="inlineStr">
        <is>
          <t>No Raspberry Pi SPI/LoRa hardware integration yet; hardware remains later step.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75" t="inlineStr">
        <is>
          <t>2026-05-13</t>
        </is>
      </c>
      <c r="B6" s="276" t="inlineStr">
        <is>
          <t>STEP 023 DEMO APK</t>
        </is>
      </c>
      <c r="C6" s="275" t="inlineStr">
        <is>
          <t>Updated Android demo APK flow and validated physical typed-message demo using two phones, two ESP32 Bluetooth links, and LoRa between NODE_A and NODE_B.</t>
        </is>
      </c>
      <c r="D6" s="276" t="inlineStr">
        <is>
          <t>Completed - demo-ready</t>
        </is>
      </c>
      <c r="E6" s="275" t="inlineStr">
        <is>
          <t>Phone B -&gt; PUP-MANET-NODE_B -&gt; LoRa -&gt; PUP-MANET-NODE_A -&gt; Phone A showed Incoming: message from Phone b; APK built at android-chat-app/demo-apk/PUP-MANET-Messenger-Step023-Demo-debug.apk; commit 03d4cb0.</t>
        </is>
      </c>
      <c r="F6" s="275" t="inlineStr">
        <is>
          <t>Codex + User</t>
        </is>
      </c>
      <c r="G6" s="275" t="inlineStr">
        <is>
          <t>Proceed to next workbook step after demo baseline is accepted.</t>
        </is>
      </c>
      <c r="H6" s="275" t="inlineStr">
        <is>
          <t>Current demo is addressed node-to-node messaging. Broadcast and GSM network behavior are not implemented yet and remain future workbook scope.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10" customWidth="1" style="51" min="3" max="3"/>
    <col width="36" customWidth="1" style="51" min="4" max="4"/>
    <col width="42" customWidth="1" style="51" min="5" max="5"/>
    <col width="36" customWidth="1" style="51" min="6" max="6"/>
    <col width="42" customWidth="1" style="51" min="7" max="7"/>
    <col width="14" customWidth="1" style="51" min="8" max="8"/>
    <col width="36" customWidth="1" style="51" min="9" max="9"/>
  </cols>
  <sheetData>
    <row r="1">
      <c r="A1" s="44" t="inlineStr">
        <is>
          <t>Issue / Troubleshooting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Issue ID</t>
        </is>
      </c>
      <c r="B3" s="42" t="inlineStr">
        <is>
          <t>Date</t>
        </is>
      </c>
      <c r="C3" s="42" t="inlineStr">
        <is>
          <t>Step ID</t>
        </is>
      </c>
      <c r="D3" s="42" t="inlineStr">
        <is>
          <t>Problem</t>
        </is>
      </c>
      <c r="E3" s="42" t="inlineStr">
        <is>
          <t>Error / Symptom</t>
        </is>
      </c>
      <c r="F3" s="42" t="inlineStr">
        <is>
          <t>Root Cause</t>
        </is>
      </c>
      <c r="G3" s="42" t="inlineStr">
        <is>
          <t>Fix Applied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n"/>
      <c r="B4" s="258" t="n"/>
      <c r="C4" s="258" t="n"/>
      <c r="D4" s="258" t="n"/>
      <c r="E4" s="258" t="n"/>
      <c r="F4" s="258" t="n"/>
      <c r="G4" s="258" t="n"/>
      <c r="H4" s="258" t="n"/>
      <c r="I4" s="258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n"/>
      <c r="B5" s="258" t="n"/>
      <c r="C5" s="258" t="n"/>
      <c r="D5" s="258" t="n"/>
      <c r="E5" s="258" t="n"/>
      <c r="F5" s="258" t="n"/>
      <c r="G5" s="258" t="n"/>
      <c r="H5" s="258" t="n"/>
      <c r="I5" s="258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8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8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8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8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00" showDropDown="0" showInputMessage="0" showErrorMessage="0" allowBlank="0" type="list">
      <formula1>"Open,In Progress,Resolved,Deferred"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38" customWidth="1" style="51" min="3" max="3"/>
    <col width="42" customWidth="1" style="51" min="4" max="4"/>
    <col width="34" customWidth="1" style="51" min="5" max="5"/>
    <col width="36" customWidth="1" style="51" min="6" max="6"/>
    <col width="16" customWidth="1" style="51" min="7" max="7"/>
    <col width="36" customWidth="1" style="51" min="8" max="8"/>
  </cols>
  <sheetData>
    <row r="1">
      <c r="A1" s="44" t="inlineStr">
        <is>
          <t>Design Decision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Decision ID</t>
        </is>
      </c>
      <c r="B3" s="42" t="inlineStr">
        <is>
          <t>Date</t>
        </is>
      </c>
      <c r="C3" s="42" t="inlineStr">
        <is>
          <t>Decision</t>
        </is>
      </c>
      <c r="D3" s="42" t="inlineStr">
        <is>
          <t>Reason</t>
        </is>
      </c>
      <c r="E3" s="42" t="inlineStr">
        <is>
          <t>Alternatives Considered</t>
        </is>
      </c>
      <c r="F3" s="42" t="inlineStr">
        <is>
          <t>Impact</t>
        </is>
      </c>
      <c r="G3" s="42" t="inlineStr">
        <is>
          <t>Status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D1</t>
        </is>
      </c>
      <c r="B4" s="266" t="n">
        <v>46146</v>
      </c>
      <c r="C4" s="258" t="inlineStr">
        <is>
          <t>Use simulation-first workflow</t>
        </is>
      </c>
      <c r="D4" s="258" t="inlineStr">
        <is>
          <t>User has physical nodes but wants to start with simulation</t>
        </is>
      </c>
      <c r="E4" s="258" t="inlineStr">
        <is>
          <t>Hardware-first development</t>
        </is>
      </c>
      <c r="F4" s="258" t="inlineStr">
        <is>
          <t>Reduces debugging risk</t>
        </is>
      </c>
      <c r="G4" s="258" t="inlineStr">
        <is>
          <t>Accepted</t>
        </is>
      </c>
      <c r="H4" s="258" t="str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D2</t>
        </is>
      </c>
      <c r="B5" s="266" t="n">
        <v>46146</v>
      </c>
      <c r="C5" s="258" t="inlineStr">
        <is>
          <t>Start with controlled reliable mesh instead of full AODV</t>
        </is>
      </c>
      <c r="D5" s="258" t="inlineStr">
        <is>
          <t>AODV on LoRa ESP32 is complex and hard to debug initially</t>
        </is>
      </c>
      <c r="E5" s="258" t="inlineStr">
        <is>
          <t>Full AODV immediately</t>
        </is>
      </c>
      <c r="F5" s="258" t="inlineStr">
        <is>
          <t>Faster prototype; can evolve later</t>
        </is>
      </c>
      <c r="G5" s="258" t="inlineStr">
        <is>
          <t>Recommended</t>
        </is>
      </c>
      <c r="H5" s="258" t="str"/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D3</t>
        </is>
      </c>
      <c r="B6" s="266" t="n">
        <v>46146</v>
      </c>
      <c r="C6" s="258" t="inlineStr">
        <is>
          <t>If destination is not local, route to next network via gateway</t>
        </is>
      </c>
      <c r="D6" s="258" t="inlineStr">
        <is>
          <t>User requirement</t>
        </is>
      </c>
      <c r="E6" s="258" t="inlineStr">
        <is>
          <t>Drop unknown destinations</t>
        </is>
      </c>
      <c r="F6" s="258" t="inlineStr">
        <is>
          <t>Enables Network A to B messaging</t>
        </is>
      </c>
      <c r="G6" s="258" t="inlineStr">
        <is>
          <t>Accepted</t>
        </is>
      </c>
      <c r="H6" s="258" t="str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D4</t>
        </is>
      </c>
      <c r="B7" s="266" t="n">
        <v>46146</v>
      </c>
      <c r="C7" s="258" t="inlineStr">
        <is>
          <t>Develop ESP32 code, then Raspberry Pi gateway, then Android app</t>
        </is>
      </c>
      <c r="D7" s="258" t="inlineStr">
        <is>
          <t>User requested order</t>
        </is>
      </c>
      <c r="E7" s="258" t="inlineStr">
        <is>
          <t>Android first</t>
        </is>
      </c>
      <c r="F7" s="258" t="inlineStr">
        <is>
          <t>Ensures app integrates with stable backend</t>
        </is>
      </c>
      <c r="G7" s="258" t="inlineStr">
        <is>
          <t>Accepted</t>
        </is>
      </c>
      <c r="H7" s="258" t="str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66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2026-05-05</t>
        </is>
      </c>
      <c r="B10" s="258" t="inlineStr">
        <is>
          <t>Development workflow</t>
        </is>
      </c>
      <c r="C10" s="258" t="inlineStr">
        <is>
          <t>Use Codex Web + GitHub as primary and Codex CLI on Mac as secondary. VS Code optional only.</t>
        </is>
      </c>
      <c r="D10" s="258" t="inlineStr">
        <is>
          <t>User confirmed Codex installed on MacBook Pro M1 Max and wants no VS Code dependency.</t>
        </is>
      </c>
      <c r="E10" s="258" t="inlineStr">
        <is>
          <t>Accepted</t>
        </is>
      </c>
      <c r="F10" s="258" t="inlineStr">
        <is>
          <t>Marvin/Project</t>
        </is>
      </c>
      <c r="G10" s="258" t="inlineStr">
        <is>
          <t>Implementation workbook updated</t>
        </is>
      </c>
      <c r="H10" s="258" t="inlineStr">
        <is>
          <t>Proceed to GitHub repo setup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System Architecture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</row>
    <row r="4" ht="22" customHeight="1" s="51"/>
    <row r="5" ht="22" customHeight="1" s="51">
      <c r="B5" s="1" t="n"/>
      <c r="C5" s="1" t="n"/>
      <c r="D5" s="1" t="n"/>
      <c r="E5" s="1" t="n"/>
      <c r="J5" s="1" t="n"/>
      <c r="K5" s="1" t="n"/>
      <c r="L5" s="1" t="n"/>
      <c r="M5" s="1" t="n"/>
    </row>
    <row r="6" ht="22" customHeight="1" s="51">
      <c r="B6" s="1" t="n"/>
      <c r="C6" s="1" t="n"/>
      <c r="D6" s="1" t="n"/>
      <c r="E6" s="1" t="n"/>
      <c r="J6" s="1" t="n"/>
      <c r="K6" s="1" t="n"/>
      <c r="L6" s="1" t="n"/>
      <c r="M6" s="1" t="n"/>
    </row>
    <row r="7" ht="22" customHeight="1" s="51"/>
    <row r="8" ht="22" customHeight="1" s="51">
      <c r="C8" s="1" t="n"/>
      <c r="D8" s="1" t="n"/>
      <c r="K8" s="1" t="n"/>
      <c r="L8" s="1" t="n"/>
    </row>
    <row r="9" ht="22" customHeight="1" s="51">
      <c r="C9" s="1" t="n"/>
      <c r="D9" s="1" t="n"/>
      <c r="K9" s="1" t="n"/>
      <c r="L9" s="1" t="n"/>
    </row>
    <row r="10" ht="22" customHeight="1" s="51"/>
    <row r="11" ht="22" customHeight="1" s="51">
      <c r="B11" s="1" t="n"/>
      <c r="C11" s="1" t="n"/>
      <c r="D11" s="1" t="n"/>
      <c r="E11" s="1" t="n"/>
      <c r="J11" s="1" t="n"/>
      <c r="K11" s="1" t="n"/>
      <c r="L11" s="1" t="n"/>
      <c r="M11" s="1" t="n"/>
    </row>
    <row r="12" ht="22" customHeight="1" s="51">
      <c r="B12" s="1" t="n"/>
      <c r="C12" s="1" t="n"/>
      <c r="D12" s="1" t="n"/>
      <c r="E12" s="1" t="n"/>
      <c r="J12" s="1" t="n"/>
      <c r="K12" s="1" t="n"/>
      <c r="L12" s="1" t="n"/>
      <c r="M12" s="1" t="n"/>
    </row>
    <row r="13" ht="22" customHeight="1" s="51"/>
    <row r="14" ht="22" customHeight="1" s="51">
      <c r="C14" s="1" t="n"/>
      <c r="D14" s="1" t="n"/>
      <c r="K14" s="1" t="n"/>
      <c r="L14" s="1" t="n"/>
    </row>
    <row r="15" ht="22" customHeight="1" s="51">
      <c r="C15" s="1" t="n"/>
      <c r="D15" s="1" t="n"/>
      <c r="K15" s="1" t="n"/>
      <c r="L15" s="1" t="n"/>
    </row>
    <row r="16" ht="22" customHeight="1" s="51"/>
    <row r="17" ht="22" customHeight="1" s="51"/>
    <row r="18" ht="22" customHeight="1" s="51">
      <c r="B18" s="1" t="n"/>
      <c r="C18" s="1" t="n"/>
      <c r="D18" s="1" t="n"/>
      <c r="E18" s="1" t="n"/>
      <c r="J18" s="1" t="n"/>
      <c r="K18" s="1" t="n"/>
      <c r="L18" s="1" t="n"/>
      <c r="M18" s="1" t="n"/>
    </row>
    <row r="19" ht="22" customHeight="1" s="51">
      <c r="B19" s="1" t="n"/>
      <c r="E19" s="1" t="n"/>
      <c r="J19" s="1" t="n"/>
      <c r="M19" s="1" t="n"/>
    </row>
    <row r="20" ht="22" customHeight="1" s="51">
      <c r="B20" s="1" t="n"/>
      <c r="C20" s="1" t="n"/>
      <c r="D20" s="1" t="n"/>
      <c r="E20" s="1" t="n"/>
      <c r="J20" s="1" t="n"/>
      <c r="K20" s="1" t="n"/>
      <c r="L20" s="1" t="n"/>
      <c r="M20" s="1" t="n"/>
    </row>
    <row r="21" ht="22" customHeight="1" s="51"/>
    <row r="22" ht="22" customHeight="1" s="51"/>
    <row r="23" ht="22" customHeight="1" s="51">
      <c r="B23" s="1" t="n"/>
      <c r="C23" s="1" t="n"/>
      <c r="D23" s="1" t="n"/>
      <c r="E23" s="1" t="n"/>
      <c r="J23" s="1" t="n"/>
      <c r="K23" s="1" t="n"/>
      <c r="L23" s="1" t="n"/>
      <c r="M23" s="1" t="n"/>
    </row>
    <row r="24" ht="22" customHeight="1" s="51">
      <c r="B24" s="1" t="n"/>
      <c r="C24" s="1" t="n"/>
      <c r="D24" s="1" t="n"/>
      <c r="E24" s="1" t="n"/>
      <c r="J24" s="1" t="n"/>
      <c r="K24" s="1" t="n"/>
      <c r="L24" s="1" t="n"/>
      <c r="M24" s="1" t="n"/>
    </row>
    <row r="25" ht="22" customHeight="1" s="51"/>
    <row r="26" ht="22" customHeight="1" s="51">
      <c r="G26" s="1" t="n"/>
      <c r="H26" s="1" t="n"/>
    </row>
    <row r="27" ht="22" customHeight="1" s="51">
      <c r="G27" s="1" t="n"/>
      <c r="H27" s="1" t="n"/>
    </row>
    <row r="28" ht="22" customHeight="1" s="51">
      <c r="G28" s="1" t="n"/>
      <c r="H28" s="1" t="n"/>
    </row>
    <row r="29" ht="22" customHeight="1" s="51"/>
    <row r="30" ht="22" customHeight="1" s="51"/>
    <row r="31" ht="22" customHeight="1" s="5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2" customHeight="1" s="5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2" customHeight="1" s="5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2" customHeight="1" s="5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25">
    <mergeCell ref="A31:N31"/>
    <mergeCell ref="I3:N3"/>
    <mergeCell ref="B33:N33"/>
    <mergeCell ref="A3:F3"/>
    <mergeCell ref="K8:L9"/>
    <mergeCell ref="K14:L15"/>
    <mergeCell ref="A1:N1"/>
    <mergeCell ref="C8:D9"/>
    <mergeCell ref="J18:M20"/>
    <mergeCell ref="B23:E24"/>
    <mergeCell ref="B32:N32"/>
    <mergeCell ref="B5:C6"/>
    <mergeCell ref="D5:E6"/>
    <mergeCell ref="L11:M12"/>
    <mergeCell ref="J5:K6"/>
    <mergeCell ref="A2:N2"/>
    <mergeCell ref="C14:D15"/>
    <mergeCell ref="B18:E20"/>
    <mergeCell ref="B11:C12"/>
    <mergeCell ref="D11:E12"/>
    <mergeCell ref="G26:H28"/>
    <mergeCell ref="J11:K12"/>
    <mergeCell ref="L5:M6"/>
    <mergeCell ref="B34:N34"/>
    <mergeCell ref="J23:M24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Message / Data Flow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/>
    <row r="4" ht="22" customHeight="1" s="51"/>
    <row r="5" ht="22" customHeight="1" s="51"/>
    <row r="6" ht="22" customHeight="1" s="51"/>
    <row r="7" ht="22" customHeight="1" s="51"/>
    <row r="8" ht="22" customHeight="1" s="51"/>
    <row r="9" ht="22" customHeight="1" s="51"/>
    <row r="10" ht="22" customHeight="1" s="51"/>
    <row r="11" ht="22" customHeight="1" s="51"/>
    <row r="12" ht="22" customHeight="1" s="5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2" customHeight="1" s="51"/>
    <row r="14" ht="22" customHeight="1" s="51">
      <c r="A14" s="1" t="n"/>
      <c r="B14" s="1" t="n"/>
      <c r="D14" s="1" t="n"/>
      <c r="E14" s="1" t="n"/>
      <c r="G14" s="1" t="n"/>
      <c r="H14" s="1" t="n"/>
      <c r="J14" s="1" t="n"/>
      <c r="K14" s="1" t="n"/>
      <c r="M14" s="1" t="n"/>
      <c r="N14" s="1" t="n"/>
    </row>
    <row r="15" ht="22" customHeight="1" s="51">
      <c r="A15" s="1" t="n"/>
      <c r="B15" s="1" t="n"/>
      <c r="D15" s="1" t="n"/>
      <c r="E15" s="1" t="n"/>
      <c r="G15" s="1" t="n"/>
      <c r="H15" s="1" t="n"/>
      <c r="J15" s="1" t="n"/>
      <c r="K15" s="1" t="n"/>
      <c r="M15" s="1" t="n"/>
      <c r="N15" s="1" t="n"/>
    </row>
    <row r="16" ht="22" customHeight="1" s="51">
      <c r="A16" s="1" t="n"/>
      <c r="B16" s="1" t="n"/>
      <c r="D16" s="1" t="n"/>
      <c r="E16" s="1" t="n"/>
      <c r="G16" s="1" t="n"/>
      <c r="H16" s="1" t="n"/>
      <c r="J16" s="1" t="n"/>
      <c r="K16" s="1" t="n"/>
      <c r="M16" s="1" t="n"/>
      <c r="N16" s="1" t="n"/>
    </row>
    <row r="17" ht="22" customHeight="1" s="51"/>
    <row r="18" ht="22" customHeight="1" s="51"/>
    <row r="19" ht="22" customHeight="1" s="51"/>
    <row r="20" ht="22" customHeight="1" s="51">
      <c r="D20" s="1" t="n"/>
      <c r="E20" s="1" t="n"/>
      <c r="G20" s="1" t="n"/>
      <c r="H20" s="1" t="n"/>
      <c r="J20" s="1" t="n"/>
      <c r="K20" s="1" t="n"/>
    </row>
    <row r="21" ht="22" customHeight="1" s="51">
      <c r="D21" s="1" t="n"/>
      <c r="E21" s="1" t="n"/>
      <c r="G21" s="1" t="n"/>
      <c r="H21" s="1" t="n"/>
      <c r="J21" s="1" t="n"/>
      <c r="K21" s="1" t="n"/>
    </row>
    <row r="22" ht="22" customHeight="1" s="51">
      <c r="D22" s="1" t="n"/>
      <c r="E22" s="1" t="n"/>
      <c r="G22" s="1" t="n"/>
      <c r="H22" s="1" t="n"/>
      <c r="J22" s="1" t="n"/>
      <c r="K22" s="1" t="n"/>
    </row>
    <row r="23" ht="22" customHeight="1" s="51"/>
    <row r="24" ht="22" customHeight="1" s="51"/>
    <row r="25" ht="22" customHeight="1" s="51"/>
    <row r="26" ht="22" customHeight="1" s="5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2" customHeight="1" s="51"/>
    <row r="28" ht="22" customHeight="1" s="51"/>
    <row r="29" ht="22" customHeight="1" s="51"/>
    <row r="30" ht="22" customHeight="1" s="51"/>
    <row r="31" ht="22" customHeight="1" s="51"/>
    <row r="32" ht="22" customHeight="1" s="51"/>
    <row r="33" ht="22" customHeight="1" s="51"/>
    <row r="34" ht="22" customHeight="1" s="51"/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12">
    <mergeCell ref="D20:E22"/>
    <mergeCell ref="A12:N12"/>
    <mergeCell ref="G20:H22"/>
    <mergeCell ref="A14:B16"/>
    <mergeCell ref="G14:H16"/>
    <mergeCell ref="J20:K22"/>
    <mergeCell ref="A26:N26"/>
    <mergeCell ref="A2:N2"/>
    <mergeCell ref="J14:K16"/>
    <mergeCell ref="M14:N16"/>
    <mergeCell ref="D14:E16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20" customWidth="1" style="51" min="2" max="2"/>
    <col width="24" customWidth="1" style="51" min="3" max="3"/>
    <col width="36" customWidth="1" style="51" min="4" max="4"/>
    <col width="30" customWidth="1" style="51" min="5" max="5"/>
    <col width="34" customWidth="1" style="51" min="6" max="6"/>
    <col width="22" customWidth="1" style="51" min="7" max="7"/>
    <col width="28" customWidth="1" style="51" min="8" max="8"/>
    <col width="18" customWidth="1" style="51" min="9" max="9"/>
    <col width="35" customWidth="1" style="51" min="10" max="10"/>
    <col width="34" customWidth="1" style="51" min="11" max="11"/>
  </cols>
  <sheetData>
    <row r="1">
      <c r="A1" s="273" t="inlineStr">
        <is>
          <t>Codex + GitHub Workflow — VS Code Optional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07" t="n"/>
      <c r="B2" s="4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41" t="inlineStr">
        <is>
          <t>Stage</t>
        </is>
      </c>
      <c r="B3" s="241" t="inlineStr">
        <is>
          <t>Tool</t>
        </is>
      </c>
      <c r="C3" s="241" t="inlineStr">
        <is>
          <t>Where it runs</t>
        </is>
      </c>
      <c r="D3" s="241" t="inlineStr">
        <is>
          <t>Purpose</t>
        </is>
      </c>
      <c r="E3" s="241" t="inlineStr">
        <is>
          <t>Input required</t>
        </is>
      </c>
      <c r="F3" s="241" t="inlineStr">
        <is>
          <t>Output expected</t>
        </is>
      </c>
      <c r="G3" s="241" t="inlineStr">
        <is>
          <t>Who validates</t>
        </is>
      </c>
      <c r="H3" s="241" t="inlineStr">
        <is>
          <t>Workbook update required</t>
        </is>
      </c>
      <c r="I3" s="241" t="inlineStr">
        <is>
          <t>GitHub action</t>
        </is>
      </c>
      <c r="J3" s="241" t="inlineStr">
        <is>
          <t>Pass condition</t>
        </is>
      </c>
      <c r="K3" s="241" t="inlineStr">
        <is>
          <t>Notes</t>
        </is>
      </c>
    </row>
    <row r="4">
      <c r="A4" s="228" t="inlineStr">
        <is>
          <t>0. Baseline repo</t>
        </is>
      </c>
      <c r="B4" s="228" t="inlineStr">
        <is>
          <t>GitHub + Codex Web</t>
        </is>
      </c>
      <c r="C4" s="228" t="inlineStr">
        <is>
          <t>Browser</t>
        </is>
      </c>
      <c r="D4" s="228" t="inlineStr">
        <is>
          <t>Create empty project repository and documentation baseline</t>
        </is>
      </c>
      <c r="E4" s="228" t="inlineStr">
        <is>
          <t>Workbook, diagrams, DOCX test requirements</t>
        </is>
      </c>
      <c r="F4" s="228" t="inlineStr">
        <is>
          <t>Repo with folders, README, AGENTS.md, docs</t>
        </is>
      </c>
      <c r="G4" s="228" t="inlineStr">
        <is>
          <t>User + ChatGPT</t>
        </is>
      </c>
      <c r="H4" s="228" t="inlineStr">
        <is>
          <t>Yes: Repo baseline complete</t>
        </is>
      </c>
      <c r="I4" s="228" t="inlineStr">
        <is>
          <t>Initial commit</t>
        </is>
      </c>
      <c r="J4" s="228" t="inlineStr">
        <is>
          <t>Repo opens and files are visible</t>
        </is>
      </c>
      <c r="K4" s="228" t="inlineStr">
        <is>
          <t>No VS Code required</t>
        </is>
      </c>
    </row>
    <row r="5">
      <c r="A5" s="258" t="inlineStr">
        <is>
          <t>1. Codex instructions</t>
        </is>
      </c>
      <c r="B5" s="258" t="inlineStr">
        <is>
          <t>Codex Web</t>
        </is>
      </c>
      <c r="C5" s="258" t="inlineStr">
        <is>
          <t>Cloud</t>
        </is>
      </c>
      <c r="D5" s="258" t="inlineStr">
        <is>
          <t>Create/verify AGENTS.md so Codex follows workbook and test procedures</t>
        </is>
      </c>
      <c r="E5" s="258" t="inlineStr">
        <is>
          <t>Workbook step number and coding rules</t>
        </is>
      </c>
      <c r="F5" s="258" t="inlineStr">
        <is>
          <t>AGENTS.md with project rules</t>
        </is>
      </c>
      <c r="G5" s="258" t="inlineStr">
        <is>
          <t>User + ChatGPT</t>
        </is>
      </c>
      <c r="H5" s="258" t="inlineStr">
        <is>
          <t>Yes: AGENTS.md approved</t>
        </is>
      </c>
      <c r="I5" s="258" t="inlineStr">
        <is>
          <t>PR or direct commit</t>
        </is>
      </c>
      <c r="J5" s="258" t="inlineStr">
        <is>
          <t>Codex follows scope and does not rewrite unrelated files</t>
        </is>
      </c>
      <c r="K5" s="258" t="inlineStr">
        <is>
          <t>Every Codex task must cite workbook step</t>
        </is>
      </c>
    </row>
    <row r="6">
      <c r="A6" s="258" t="inlineStr">
        <is>
          <t>2. Local Codex CLI setup</t>
        </is>
      </c>
      <c r="B6" s="258" t="inlineStr">
        <is>
          <t>Codex CLI</t>
        </is>
      </c>
      <c r="C6" s="258" t="inlineStr">
        <is>
          <t>MacBook Pro M1 Max terminal</t>
        </is>
      </c>
      <c r="D6" s="258" t="inlineStr">
        <is>
          <t>Allow local repo review and controlled edits without VS Code</t>
        </is>
      </c>
      <c r="E6" s="258" t="inlineStr">
        <is>
          <t>GitHub repo cloned locally</t>
        </is>
      </c>
      <c r="F6" s="258" t="inlineStr">
        <is>
          <t>Codex CLI can read project and propose edits</t>
        </is>
      </c>
      <c r="G6" s="258" t="inlineStr">
        <is>
          <t>User</t>
        </is>
      </c>
      <c r="H6" s="258" t="inlineStr">
        <is>
          <t>Yes: CLI setup evidence</t>
        </is>
      </c>
      <c r="I6" s="258" t="inlineStr">
        <is>
          <t>Optional local branch commit</t>
        </is>
      </c>
      <c r="J6" s="258" t="inlineStr">
        <is>
          <t>codex command runs in repo folder</t>
        </is>
      </c>
      <c r="K6" s="258" t="inlineStr">
        <is>
          <t>Used for local checks/troubleshooting</t>
        </is>
      </c>
    </row>
    <row r="7">
      <c r="A7" s="258" t="inlineStr">
        <is>
          <t>3. ESP32 simulation</t>
        </is>
      </c>
      <c r="B7" s="258" t="inlineStr">
        <is>
          <t>Codex Web or CLI</t>
        </is>
      </c>
      <c r="C7" s="258" t="inlineStr">
        <is>
          <t>GitHub cloud/local Mac</t>
        </is>
      </c>
      <c r="D7" s="258" t="inlineStr">
        <is>
          <t>Create PlatformIO project with simulation mode first</t>
        </is>
      </c>
      <c r="E7" s="258" t="inlineStr">
        <is>
          <t>Step prompt + packet format</t>
        </is>
      </c>
      <c r="F7" s="258" t="inlineStr">
        <is>
          <t>Compilable ESP32 code with simulated LoRa/messages</t>
        </is>
      </c>
      <c r="G7" s="258" t="inlineStr">
        <is>
          <t>User + ChatGPT</t>
        </is>
      </c>
      <c r="H7" s="258" t="inlineStr">
        <is>
          <t>Yes: build result and notes</t>
        </is>
      </c>
      <c r="I7" s="258" t="inlineStr">
        <is>
          <t>PR</t>
        </is>
      </c>
      <c r="J7" s="258" t="inlineStr">
        <is>
          <t>PlatformIO build passes</t>
        </is>
      </c>
      <c r="K7" s="258" t="inlineStr">
        <is>
          <t>Hardware not required yet</t>
        </is>
      </c>
    </row>
    <row r="8">
      <c r="A8" s="258" t="inlineStr">
        <is>
          <t>4. ESP32 LoRa + Bluetooth</t>
        </is>
      </c>
      <c r="B8" s="258" t="inlineStr">
        <is>
          <t>Codex Web or CLI</t>
        </is>
      </c>
      <c r="C8" s="258" t="inlineStr">
        <is>
          <t>GitHub cloud/local Mac</t>
        </is>
      </c>
      <c r="D8" s="258" t="inlineStr">
        <is>
          <t>Add SX1278 LoRa and Android Bluetooth bridge</t>
        </is>
      </c>
      <c r="E8" s="258" t="inlineStr">
        <is>
          <t>Pin map, baud, Bluetooth pairing rules</t>
        </is>
      </c>
      <c r="F8" s="258" t="inlineStr">
        <is>
          <t>Firmware supports phone-to-LoRa bridge</t>
        </is>
      </c>
      <c r="G8" s="258" t="inlineStr">
        <is>
          <t>User hardware test</t>
        </is>
      </c>
      <c r="H8" s="258" t="inlineStr">
        <is>
          <t>Yes: test evidence/screenshots</t>
        </is>
      </c>
      <c r="I8" s="258" t="inlineStr">
        <is>
          <t>PR</t>
        </is>
      </c>
      <c r="J8" s="258" t="inlineStr">
        <is>
          <t>Message sent from Android/serial reaches LoRa packet layer</t>
        </is>
      </c>
      <c r="K8" s="258" t="inlineStr">
        <is>
          <t>Physical Bluetooth/LoRa tested by user</t>
        </is>
      </c>
    </row>
    <row r="9">
      <c r="A9" s="258" t="inlineStr">
        <is>
          <t>5. Raspberry Pi gateway simulation</t>
        </is>
      </c>
      <c r="B9" s="258" t="inlineStr">
        <is>
          <t>Codex Web or CLI</t>
        </is>
      </c>
      <c r="C9" s="258" t="inlineStr">
        <is>
          <t>Cloud/local Mac</t>
        </is>
      </c>
      <c r="D9" s="258" t="inlineStr">
        <is>
          <t>Build Python gateway logic without hardware first</t>
        </is>
      </c>
      <c r="E9" s="258" t="inlineStr">
        <is>
          <t>Packet protocol, failover rules</t>
        </is>
      </c>
      <c r="F9" s="258" t="inlineStr">
        <is>
          <t>Gateway simulator, web dashboard/logs</t>
        </is>
      </c>
      <c r="G9" s="258" t="inlineStr">
        <is>
          <t>User + ChatGPT</t>
        </is>
      </c>
      <c r="H9" s="258" t="inlineStr">
        <is>
          <t>Yes: simulation test result</t>
        </is>
      </c>
      <c r="I9" s="258" t="inlineStr">
        <is>
          <t>PR</t>
        </is>
      </c>
      <c r="J9" s="258" t="inlineStr">
        <is>
          <t>Simulated 6-node traffic passes baseline/degradation/failover</t>
        </is>
      </c>
      <c r="K9" s="258" t="inlineStr">
        <is>
          <t>Python tests can run in Codex</t>
        </is>
      </c>
    </row>
    <row r="10">
      <c r="A10" s="258" t="inlineStr">
        <is>
          <t>6. Raspberry Pi LoRa SPI</t>
        </is>
      </c>
      <c r="B10" s="258" t="inlineStr">
        <is>
          <t>Codex Web or CLI</t>
        </is>
      </c>
      <c r="C10" s="258" t="inlineStr">
        <is>
          <t>Repo + Raspberry Pi hardware</t>
        </is>
      </c>
      <c r="D10" s="258" t="inlineStr">
        <is>
          <t>Add real SX1278 SPI support to gateway</t>
        </is>
      </c>
      <c r="E10" s="258" t="inlineStr">
        <is>
          <t>Wiring/pin map</t>
        </is>
      </c>
      <c r="F10" s="258" t="inlineStr">
        <is>
          <t>Gateway receives LoRa packets from nodes</t>
        </is>
      </c>
      <c r="G10" s="258" t="inlineStr">
        <is>
          <t>User hardware test</t>
        </is>
      </c>
      <c r="H10" s="258" t="inlineStr">
        <is>
          <t>Yes: hardware evidence</t>
        </is>
      </c>
      <c r="I10" s="258" t="inlineStr">
        <is>
          <t>PR</t>
        </is>
      </c>
      <c r="J10" s="258" t="inlineStr">
        <is>
          <t>Pi receives/sends LoRa packet reliably</t>
        </is>
      </c>
      <c r="K10" s="258" t="inlineStr">
        <is>
          <t>Physical test cannot be completed by Codex alone</t>
        </is>
      </c>
    </row>
    <row r="11">
      <c r="A11" s="258" t="inlineStr">
        <is>
          <t>7. Router-to-router simulated satellite</t>
        </is>
      </c>
      <c r="B11" s="258" t="inlineStr">
        <is>
          <t>Codex Web or CLI</t>
        </is>
      </c>
      <c r="C11" s="258" t="inlineStr">
        <is>
          <t>Raspberry Pi + routers</t>
        </is>
      </c>
      <c r="D11" s="258" t="inlineStr">
        <is>
          <t>Implement gateway-to-gateway WiFi path and latency simulation</t>
        </is>
      </c>
      <c r="E11" s="258" t="inlineStr">
        <is>
          <t>Router IPs, network settings</t>
        </is>
      </c>
      <c r="F11" s="258" t="inlineStr">
        <is>
          <t>Inter-gateway message forwarding</t>
        </is>
      </c>
      <c r="G11" s="258" t="inlineStr">
        <is>
          <t>User hardware test</t>
        </is>
      </c>
      <c r="H11" s="258" t="inlineStr">
        <is>
          <t>Yes: latency/log evidence</t>
        </is>
      </c>
      <c r="I11" s="258" t="inlineStr">
        <is>
          <t>PR</t>
        </is>
      </c>
      <c r="J11" s="258" t="inlineStr">
        <is>
          <t>Network A can route message to Network B</t>
        </is>
      </c>
      <c r="K11" s="258" t="inlineStr">
        <is>
          <t>Use WiFi routers to simulate satellite path</t>
        </is>
      </c>
    </row>
    <row r="12">
      <c r="A12" s="258" t="inlineStr">
        <is>
          <t>8. Android app</t>
        </is>
      </c>
      <c r="B12" s="258" t="inlineStr">
        <is>
          <t>Codex Web or CLI</t>
        </is>
      </c>
      <c r="C12" s="258" t="inlineStr">
        <is>
          <t>GitHub cloud/local Mac</t>
        </is>
      </c>
      <c r="D12" s="258" t="inlineStr">
        <is>
          <t>Create Android messaging app</t>
        </is>
      </c>
      <c r="E12" s="258" t="inlineStr">
        <is>
          <t>UI requirements, network modes</t>
        </is>
      </c>
      <c r="F12" s="258" t="inlineStr">
        <is>
          <t>Android Studio project</t>
        </is>
      </c>
      <c r="G12" s="258" t="inlineStr">
        <is>
          <t>User + phone test</t>
        </is>
      </c>
      <c r="H12" s="258" t="inlineStr">
        <is>
          <t>Yes: APK/build/test evidence</t>
        </is>
      </c>
      <c r="I12" s="258" t="inlineStr">
        <is>
          <t>PR</t>
        </is>
      </c>
      <c r="J12" s="258" t="inlineStr">
        <is>
          <t>App builds and can select Auto/WiFi/GSM/LoRa</t>
        </is>
      </c>
      <c r="K12" s="258" t="inlineStr">
        <is>
          <t>Android Studio still used for build/run if needed</t>
        </is>
      </c>
    </row>
    <row r="13">
      <c r="A13" s="258" t="inlineStr">
        <is>
          <t>9. Integrated validation</t>
        </is>
      </c>
      <c r="B13" s="258" t="inlineStr">
        <is>
          <t>Codex + User hardware</t>
        </is>
      </c>
      <c r="C13" s="258" t="inlineStr">
        <is>
          <t>Physical setup</t>
        </is>
      </c>
      <c r="D13" s="258" t="inlineStr">
        <is>
          <t>Run DOCX test campaign</t>
        </is>
      </c>
      <c r="E13" s="258" t="inlineStr">
        <is>
          <t>6 nodes, 2 gateways, 2 routers, phones</t>
        </is>
      </c>
      <c r="F13" s="258" t="inlineStr">
        <is>
          <t>Completed test log and workbook evidence</t>
        </is>
      </c>
      <c r="G13" s="258" t="inlineStr">
        <is>
          <t>User + ChatGPT</t>
        </is>
      </c>
      <c r="H13" s="258" t="inlineStr">
        <is>
          <t>Yes: all test sheets updated</t>
        </is>
      </c>
      <c r="I13" s="258" t="inlineStr">
        <is>
          <t>Final PR/Release tag</t>
        </is>
      </c>
      <c r="J13" s="258" t="inlineStr">
        <is>
          <t>All acceptance criteria passed</t>
        </is>
      </c>
      <c r="K13" s="258" t="inlineStr">
        <is>
          <t>Workbook is final continuation reference</t>
        </is>
      </c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07" t="n"/>
      <c r="B16" s="274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97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19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19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19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19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19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19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</row>
  </sheetData>
  <mergeCells count="3">
    <mergeCell ref="B2:K2"/>
    <mergeCell ref="A1:K1"/>
    <mergeCell ref="B16:K16"/>
  </mergeCells>
  <dataValidations count="1">
    <dataValidation sqref="K5:K1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16" customWidth="1" style="51" min="2" max="2"/>
    <col width="18" customWidth="1" style="51" min="3" max="3"/>
    <col width="28" customWidth="1" style="51" min="4" max="4"/>
    <col width="70" customWidth="1" style="51" min="5" max="5"/>
    <col width="32" customWidth="1" style="51" min="6" max="6"/>
    <col width="28" customWidth="1" style="51" min="7" max="7"/>
    <col width="36" customWidth="1" style="51" min="8" max="8"/>
    <col width="28" customWidth="1" style="51" min="9" max="9"/>
  </cols>
  <sheetData>
    <row r="1">
      <c r="A1" s="273" t="inlineStr">
        <is>
          <t>Codex Task Prompts — One Task Per Workbook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Task ID</t>
        </is>
      </c>
      <c r="B3" s="241" t="inlineStr">
        <is>
          <t>Workbook Step</t>
        </is>
      </c>
      <c r="C3" s="241" t="inlineStr">
        <is>
          <t>Use With</t>
        </is>
      </c>
      <c r="D3" s="241" t="inlineStr">
        <is>
          <t>Prompt Title</t>
        </is>
      </c>
      <c r="E3" s="241" t="inlineStr">
        <is>
          <t>Prompt</t>
        </is>
      </c>
      <c r="F3" s="241" t="inlineStr">
        <is>
          <t>Expected Output</t>
        </is>
      </c>
      <c r="G3" s="241" t="inlineStr">
        <is>
          <t>Allowed Files</t>
        </is>
      </c>
      <c r="H3" s="241" t="inlineStr">
        <is>
          <t>Validation</t>
        </is>
      </c>
      <c r="I3" s="241" t="inlineStr">
        <is>
          <t>Workbook Update</t>
        </is>
      </c>
      <c r="J3" s="258" t="n"/>
      <c r="K3" s="258" t="n"/>
    </row>
    <row r="4">
      <c r="A4" s="258" t="inlineStr">
        <is>
          <t>C0</t>
        </is>
      </c>
      <c r="B4" s="258" t="inlineStr">
        <is>
          <t>0.1</t>
        </is>
      </c>
      <c r="C4" s="258" t="inlineStr">
        <is>
          <t>Codex Web</t>
        </is>
      </c>
      <c r="D4" s="258" t="inlineStr">
        <is>
          <t>Create baseline repo</t>
        </is>
      </c>
      <c r="E4" s="258" t="inlineStr">
        <is>
          <t>Create the repository structure for pup-manet-emergency-messaging. Add README.md, AGENTS.md, docs/workbook, docs/diagrams, docs/test-procedures, esp32-node-platformio, rpi-gateway, and android-chat-app folders. Do not implement application code yet.</t>
        </is>
      </c>
      <c r="F4" s="258" t="inlineStr">
        <is>
          <t>Baseline repo structure</t>
        </is>
      </c>
      <c r="G4" s="258" t="inlineStr">
        <is>
          <t>All top-level docs/folders</t>
        </is>
      </c>
      <c r="H4" s="258" t="inlineStr">
        <is>
          <t>Repo opens and README explains workflow</t>
        </is>
      </c>
      <c r="I4" s="258" t="inlineStr">
        <is>
          <t>Mark repo baseline complete</t>
        </is>
      </c>
      <c r="J4" s="258" t="n"/>
      <c r="K4" s="258" t="n"/>
    </row>
    <row r="5">
      <c r="A5" s="258" t="inlineStr">
        <is>
          <t>C1</t>
        </is>
      </c>
      <c r="B5" s="258" t="inlineStr">
        <is>
          <t>1.1</t>
        </is>
      </c>
      <c r="C5" s="258" t="inlineStr">
        <is>
          <t>Codex Web</t>
        </is>
      </c>
      <c r="D5" s="258" t="inlineStr">
        <is>
          <t>Write AGENTS.md</t>
        </is>
      </c>
      <c r="E5" s="258" t="inlineStr">
        <is>
          <t>Create AGENTS.md for this project. Codex must follow the workbook step number, keep ESP32/RPi/Android separate, preserve test procedure alignment, avoid unrelated rewrites, and report validation commands/results.</t>
        </is>
      </c>
      <c r="F5" s="258" t="inlineStr">
        <is>
          <t>AGENTS.md</t>
        </is>
      </c>
      <c r="G5" s="258" t="inlineStr">
        <is>
          <t>AGENTS.md only unless README reference needed</t>
        </is>
      </c>
      <c r="H5" s="258" t="inlineStr">
        <is>
          <t>AGENTS.md includes scope and validation rules</t>
        </is>
      </c>
      <c r="I5" s="258" t="inlineStr">
        <is>
          <t>Mark Codex instruction baseline complete</t>
        </is>
      </c>
      <c r="J5" s="258" t="n"/>
      <c r="K5" s="258" t="n"/>
    </row>
    <row r="6">
      <c r="A6" s="258" t="inlineStr">
        <is>
          <t>C2</t>
        </is>
      </c>
      <c r="B6" s="258" t="inlineStr">
        <is>
          <t>2.1</t>
        </is>
      </c>
      <c r="C6" s="258" t="inlineStr">
        <is>
          <t>Codex CLI</t>
        </is>
      </c>
      <c r="D6" s="258" t="inlineStr">
        <is>
          <t>Inspect repo locally</t>
        </is>
      </c>
      <c r="E6" s="258" t="inlineStr">
        <is>
          <t>Inspect this repository against AGENTS.md and the workbook. Do not modify files. Report missing folders, unclear setup, and recommended next task.</t>
        </is>
      </c>
      <c r="F6" s="258" t="inlineStr">
        <is>
          <t>Review report only</t>
        </is>
      </c>
      <c r="G6" s="258" t="inlineStr">
        <is>
          <t>No file changes</t>
        </is>
      </c>
      <c r="H6" s="258" t="inlineStr">
        <is>
          <t>git status clean after task</t>
        </is>
      </c>
      <c r="I6" s="258" t="inlineStr">
        <is>
          <t>Record local CLI inspection</t>
        </is>
      </c>
      <c r="J6" s="258" t="n"/>
      <c r="K6" s="258" t="n"/>
    </row>
    <row r="7">
      <c r="A7" s="258" t="inlineStr">
        <is>
          <t>C3</t>
        </is>
      </c>
      <c r="B7" s="258" t="inlineStr">
        <is>
          <t>3.1</t>
        </is>
      </c>
      <c r="C7" s="258" t="inlineStr">
        <is>
          <t>Codex Web/CLI</t>
        </is>
      </c>
      <c r="D7" s="258" t="inlineStr">
        <is>
          <t>ESP32 simulation project</t>
        </is>
      </c>
      <c r="E7" s="258" t="inlineStr">
        <is>
          <t>Create the ESP32 PlatformIO project in esp32-node-platformio with simulation mode only. Implement message ID, source, destination, hop count, ACK/retry simulation, and serial logs. Do not add real LoRa hardware code yet.</t>
        </is>
      </c>
      <c r="F7" s="258" t="inlineStr">
        <is>
          <t>Compilable PlatformIO project</t>
        </is>
      </c>
      <c r="G7" s="258" t="inlineStr">
        <is>
          <t>esp32-node-platformio, README section</t>
        </is>
      </c>
      <c r="H7" s="258" t="inlineStr">
        <is>
          <t>PlatformIO build passes</t>
        </is>
      </c>
      <c r="I7" s="258" t="inlineStr">
        <is>
          <t>Record build output</t>
        </is>
      </c>
      <c r="J7" s="258" t="n"/>
      <c r="K7" s="258" t="n"/>
    </row>
    <row r="8">
      <c r="A8" s="258" t="inlineStr">
        <is>
          <t>C4</t>
        </is>
      </c>
      <c r="B8" s="258" t="inlineStr">
        <is>
          <t>4.1</t>
        </is>
      </c>
      <c r="C8" s="258" t="inlineStr">
        <is>
          <t>Codex Web/CLI</t>
        </is>
      </c>
      <c r="D8" s="258" t="inlineStr">
        <is>
          <t>ESP32 LoRa packet layer</t>
        </is>
      </c>
      <c r="E8" s="258" t="inlineStr">
        <is>
          <t>Add SX1278 Ra-02 packet abstraction while preserving simulation mode. Use a hardware interface layer so simulation and physical LoRa can be selected by config. Include RSSI/SNR fields in received packet metadata.</t>
        </is>
      </c>
      <c r="F8" s="258" t="inlineStr">
        <is>
          <t>LoRa abstraction + config</t>
        </is>
      </c>
      <c r="G8" s="258" t="inlineStr">
        <is>
          <t>esp32-node-platformio</t>
        </is>
      </c>
      <c r="H8" s="258" t="inlineStr">
        <is>
          <t>Build passes; simulation still works</t>
        </is>
      </c>
      <c r="I8" s="258" t="inlineStr">
        <is>
          <t>Record build/test result</t>
        </is>
      </c>
      <c r="J8" s="258" t="n"/>
      <c r="K8" s="258" t="n"/>
    </row>
    <row r="9">
      <c r="A9" s="258" t="inlineStr">
        <is>
          <t>C5</t>
        </is>
      </c>
      <c r="B9" s="258" t="inlineStr">
        <is>
          <t>4.2</t>
        </is>
      </c>
      <c r="C9" s="258" t="inlineStr">
        <is>
          <t>Codex Web/CLI</t>
        </is>
      </c>
      <c r="D9" s="258" t="inlineStr">
        <is>
          <t>Bluetooth bridge</t>
        </is>
      </c>
      <c r="E9" s="258" t="inlineStr">
        <is>
          <t>Add Bluetooth serial bridge for Android-to-ESP32 messaging. Preserve existing LoRa/simulation code. Include manual mode support placeholder: AUTO, LORA, WIFI, GSM.</t>
        </is>
      </c>
      <c r="F9" s="258" t="inlineStr">
        <is>
          <t>Bluetooth bridge code</t>
        </is>
      </c>
      <c r="G9" s="258" t="inlineStr">
        <is>
          <t>esp32-node-platformio</t>
        </is>
      </c>
      <c r="H9" s="258" t="inlineStr">
        <is>
          <t>Build passes; serial/Bluetooth message parser test documented</t>
        </is>
      </c>
      <c r="I9" s="258" t="inlineStr">
        <is>
          <t>Record Bluetooth test</t>
        </is>
      </c>
      <c r="J9" s="258" t="n"/>
      <c r="K9" s="258" t="n"/>
    </row>
    <row r="10">
      <c r="A10" s="258" t="inlineStr">
        <is>
          <t>C6</t>
        </is>
      </c>
      <c r="B10" s="258" t="inlineStr">
        <is>
          <t>5.1</t>
        </is>
      </c>
      <c r="C10" s="258" t="inlineStr">
        <is>
          <t>Codex Web/CLI</t>
        </is>
      </c>
      <c r="D10" s="258" t="inlineStr">
        <is>
          <t>RPi gateway simulator</t>
        </is>
      </c>
      <c r="E10" s="258" t="inlineStr">
        <is>
          <t>Create rpi-gateway Python project with simulator for 6 MANET nodes, 2 gateways, and 2 WiFi-router satellite path. Implement routing, message buffer, ACK/retry, failover trigger after 10 seconds, and recovery after 10 seconds.</t>
        </is>
      </c>
      <c r="F10" s="258" t="inlineStr">
        <is>
          <t>Python gateway simulator</t>
        </is>
      </c>
      <c r="G10" s="258" t="inlineStr">
        <is>
          <t>rpi-gateway</t>
        </is>
      </c>
      <c r="H10" s="258" t="inlineStr">
        <is>
          <t>Unit tests/simulation logs pass</t>
        </is>
      </c>
      <c r="I10" s="258" t="inlineStr">
        <is>
          <t>Record simulation result</t>
        </is>
      </c>
      <c r="J10" s="258" t="n"/>
      <c r="K10" s="258" t="n"/>
    </row>
    <row r="11">
      <c r="A11" s="258" t="inlineStr">
        <is>
          <t>C7</t>
        </is>
      </c>
      <c r="B11" s="258" t="inlineStr">
        <is>
          <t>8.1</t>
        </is>
      </c>
      <c r="C11" s="258" t="inlineStr">
        <is>
          <t>Codex Web/CLI</t>
        </is>
      </c>
      <c r="D11" s="258" t="inlineStr">
        <is>
          <t>Android app skeleton</t>
        </is>
      </c>
      <c r="E11" s="258" t="inlineStr">
        <is>
          <t>Create Android app skeleton for messaging. Include screens for chat, node pairing status, and network mode selection: AUTO, WIFI, GSM, LORA. Do not require real Bluetooth/GSM implementation in first task.</t>
        </is>
      </c>
      <c r="F11" s="258" t="inlineStr">
        <is>
          <t>Android project skeleton</t>
        </is>
      </c>
      <c r="G11" s="258" t="inlineStr">
        <is>
          <t>android-chat-app</t>
        </is>
      </c>
      <c r="H11" s="258" t="inlineStr">
        <is>
          <t>Gradle build passes if environment configured</t>
        </is>
      </c>
      <c r="I11" s="258" t="inlineStr">
        <is>
          <t>Record build result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</row>
  </sheetData>
  <mergeCells count="1">
    <mergeCell ref="A1:I1"/>
  </mergeCells>
  <dataValidations count="1">
    <dataValidation sqref="I4:I10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34" customWidth="1" style="51" min="2" max="2"/>
    <col width="14" customWidth="1" style="51" min="3" max="3"/>
    <col width="22" customWidth="1" style="51" min="4" max="4"/>
    <col width="18" customWidth="1" style="51" min="5" max="5"/>
    <col width="24" customWidth="1" style="51" min="6" max="6"/>
    <col width="42" customWidth="1" style="51" min="7" max="7"/>
    <col width="14" customWidth="1" style="51" min="8" max="8"/>
    <col width="16" customWidth="1" style="51" min="9" max="9"/>
  </cols>
  <sheetData>
    <row r="1">
      <c r="A1" s="273" t="inlineStr">
        <is>
          <t>Repository Structure — Codex/GitHub Source of Truth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Path</t>
        </is>
      </c>
      <c r="B3" s="241" t="inlineStr">
        <is>
          <t>Purpose</t>
        </is>
      </c>
      <c r="C3" s="241" t="inlineStr">
        <is>
          <t>Owned by</t>
        </is>
      </c>
      <c r="D3" s="241" t="inlineStr">
        <is>
          <t>Generated/Edited by Codex</t>
        </is>
      </c>
      <c r="E3" s="241" t="inlineStr">
        <is>
          <t>Hardware dependent</t>
        </is>
      </c>
      <c r="F3" s="241" t="inlineStr">
        <is>
          <t>Build/Test command</t>
        </is>
      </c>
      <c r="G3" s="241" t="inlineStr">
        <is>
          <t>Notes</t>
        </is>
      </c>
      <c r="H3" s="241" t="inlineStr">
        <is>
          <t>Status</t>
        </is>
      </c>
      <c r="I3" s="241" t="inlineStr">
        <is>
          <t>Last Updated</t>
        </is>
      </c>
      <c r="J3" s="258" t="n"/>
      <c r="K3" s="258" t="n"/>
    </row>
    <row r="4">
      <c r="A4" s="258" t="inlineStr">
        <is>
          <t>/README.md</t>
        </is>
      </c>
      <c r="B4" s="258" t="inlineStr">
        <is>
          <t>Project overview and workflow</t>
        </is>
      </c>
      <c r="C4" s="258" t="inlineStr">
        <is>
          <t>Project</t>
        </is>
      </c>
      <c r="D4" s="258" t="inlineStr">
        <is>
          <t>Yes</t>
        </is>
      </c>
      <c r="E4" s="258" t="inlineStr">
        <is>
          <t>No</t>
        </is>
      </c>
      <c r="F4" s="258" t="inlineStr">
        <is>
          <t>N/A</t>
        </is>
      </c>
      <c r="G4" s="258" t="inlineStr">
        <is>
          <t>Explains Codex-only workflow</t>
        </is>
      </c>
      <c r="H4" s="258" t="inlineStr">
        <is>
          <t>Planned</t>
        </is>
      </c>
      <c r="I4" s="258" t="inlineStr">
        <is>
          <t>2026-05-05</t>
        </is>
      </c>
      <c r="J4" s="258" t="n"/>
      <c r="K4" s="258" t="n"/>
    </row>
    <row r="5">
      <c r="A5" s="258" t="inlineStr">
        <is>
          <t>/AGENTS.md</t>
        </is>
      </c>
      <c r="B5" s="258" t="inlineStr">
        <is>
          <t>Codex operating rules</t>
        </is>
      </c>
      <c r="C5" s="258" t="inlineStr">
        <is>
          <t>Project</t>
        </is>
      </c>
      <c r="D5" s="258" t="inlineStr">
        <is>
          <t>Yes</t>
        </is>
      </c>
      <c r="E5" s="258" t="inlineStr">
        <is>
          <t>No</t>
        </is>
      </c>
      <c r="F5" s="258" t="inlineStr">
        <is>
          <t>N/A</t>
        </is>
      </c>
      <c r="G5" s="258" t="inlineStr">
        <is>
          <t>Must be reviewed before coding</t>
        </is>
      </c>
      <c r="H5" s="258" t="inlineStr">
        <is>
          <t>Planned</t>
        </is>
      </c>
      <c r="I5" s="258" t="inlineStr">
        <is>
          <t>2026-05-05</t>
        </is>
      </c>
      <c r="J5" s="258" t="n"/>
      <c r="K5" s="258" t="n"/>
    </row>
    <row r="6">
      <c r="A6" s="258" t="inlineStr">
        <is>
          <t>/docs/workbook/</t>
        </is>
      </c>
      <c r="B6" s="258" t="inlineStr">
        <is>
          <t>Workbook tracker</t>
        </is>
      </c>
      <c r="C6" s="258" t="inlineStr">
        <is>
          <t>Project</t>
        </is>
      </c>
      <c r="D6" s="258" t="inlineStr">
        <is>
          <t>User/ChatGPT</t>
        </is>
      </c>
      <c r="E6" s="258" t="inlineStr">
        <is>
          <t>No</t>
        </is>
      </c>
      <c r="F6" s="258" t="inlineStr">
        <is>
          <t>N/A</t>
        </is>
      </c>
      <c r="G6" s="258" t="inlineStr">
        <is>
          <t>Updated after each completed step</t>
        </is>
      </c>
      <c r="H6" s="258" t="inlineStr">
        <is>
          <t>Planned</t>
        </is>
      </c>
      <c r="I6" s="258" t="inlineStr">
        <is>
          <t>2026-05-05</t>
        </is>
      </c>
      <c r="J6" s="258" t="n"/>
      <c r="K6" s="258" t="n"/>
    </row>
    <row r="7">
      <c r="A7" s="258" t="inlineStr">
        <is>
          <t>/docs/diagrams/</t>
        </is>
      </c>
      <c r="B7" s="258" t="inlineStr">
        <is>
          <t>System and flow diagrams</t>
        </is>
      </c>
      <c r="C7" s="258" t="inlineStr">
        <is>
          <t>Project</t>
        </is>
      </c>
      <c r="D7" s="258" t="inlineStr">
        <is>
          <t>User/ChatGPT</t>
        </is>
      </c>
      <c r="E7" s="258" t="inlineStr">
        <is>
          <t>No</t>
        </is>
      </c>
      <c r="F7" s="258" t="inlineStr">
        <is>
          <t>N/A</t>
        </is>
      </c>
      <c r="G7" s="258" t="inlineStr">
        <is>
          <t>Test-aligned diagrams</t>
        </is>
      </c>
      <c r="H7" s="258" t="inlineStr">
        <is>
          <t>Planned</t>
        </is>
      </c>
      <c r="I7" s="258" t="inlineStr">
        <is>
          <t>2026-05-05</t>
        </is>
      </c>
      <c r="J7" s="258" t="n"/>
      <c r="K7" s="258" t="n"/>
    </row>
    <row r="8">
      <c r="A8" s="258" t="inlineStr">
        <is>
          <t>/docs/test-procedures/</t>
        </is>
      </c>
      <c r="B8" s="258" t="inlineStr">
        <is>
          <t>DOCX-derived validation references</t>
        </is>
      </c>
      <c r="C8" s="258" t="inlineStr">
        <is>
          <t>Project</t>
        </is>
      </c>
      <c r="D8" s="258" t="inlineStr">
        <is>
          <t>User/ChatGPT</t>
        </is>
      </c>
      <c r="E8" s="258" t="inlineStr">
        <is>
          <t>No</t>
        </is>
      </c>
      <c r="F8" s="258" t="inlineStr">
        <is>
          <t>N/A</t>
        </is>
      </c>
      <c r="G8" s="258" t="inlineStr">
        <is>
          <t>Acceptance criteria live here</t>
        </is>
      </c>
      <c r="H8" s="258" t="inlineStr">
        <is>
          <t>Planned</t>
        </is>
      </c>
      <c r="I8" s="258" t="inlineStr">
        <is>
          <t>2026-05-05</t>
        </is>
      </c>
      <c r="J8" s="258" t="n"/>
      <c r="K8" s="258" t="n"/>
    </row>
    <row r="9">
      <c r="A9" s="258" t="inlineStr">
        <is>
          <t>/esp32-node-platformio/</t>
        </is>
      </c>
      <c r="B9" s="258" t="inlineStr">
        <is>
          <t>ESP32 LoRa/Bluetooth node firmware</t>
        </is>
      </c>
      <c r="C9" s="258" t="inlineStr">
        <is>
          <t>ESP32</t>
        </is>
      </c>
      <c r="D9" s="258" t="inlineStr">
        <is>
          <t>Yes</t>
        </is>
      </c>
      <c r="E9" s="258" t="inlineStr">
        <is>
          <t>Yes</t>
        </is>
      </c>
      <c r="F9" s="258" t="inlineStr">
        <is>
          <t>pio run</t>
        </is>
      </c>
      <c r="G9" s="258" t="inlineStr">
        <is>
          <t>Simulation first, hardware later</t>
        </is>
      </c>
      <c r="H9" s="258" t="inlineStr">
        <is>
          <t>Planned</t>
        </is>
      </c>
      <c r="I9" s="258" t="inlineStr">
        <is>
          <t>2026-05-05</t>
        </is>
      </c>
      <c r="J9" s="258" t="n"/>
      <c r="K9" s="258" t="n"/>
    </row>
    <row r="10">
      <c r="A10" s="258" t="inlineStr">
        <is>
          <t>/rpi-gateway/</t>
        </is>
      </c>
      <c r="B10" s="258" t="inlineStr">
        <is>
          <t>Raspberry Pi gateway service/dashboard</t>
        </is>
      </c>
      <c r="C10" s="258" t="inlineStr">
        <is>
          <t>RPi</t>
        </is>
      </c>
      <c r="D10" s="258" t="inlineStr">
        <is>
          <t>Yes</t>
        </is>
      </c>
      <c r="E10" s="258" t="inlineStr">
        <is>
          <t>Partly</t>
        </is>
      </c>
      <c r="F10" s="258" t="inlineStr">
        <is>
          <t>python -m pytest</t>
        </is>
      </c>
      <c r="G10" s="258" t="inlineStr">
        <is>
          <t>Simulation first, SPI later</t>
        </is>
      </c>
      <c r="H10" s="258" t="inlineStr">
        <is>
          <t>Planned</t>
        </is>
      </c>
      <c r="I10" s="258" t="inlineStr">
        <is>
          <t>2026-05-05</t>
        </is>
      </c>
      <c r="J10" s="258" t="n"/>
      <c r="K10" s="258" t="n"/>
    </row>
    <row r="11">
      <c r="A11" s="258" t="inlineStr">
        <is>
          <t>/android-chat-app/</t>
        </is>
      </c>
      <c r="B11" s="258" t="inlineStr">
        <is>
          <t>Android messaging app</t>
        </is>
      </c>
      <c r="C11" s="258" t="inlineStr">
        <is>
          <t>Android</t>
        </is>
      </c>
      <c r="D11" s="258" t="inlineStr">
        <is>
          <t>Yes</t>
        </is>
      </c>
      <c r="E11" s="258" t="inlineStr">
        <is>
          <t>Partly</t>
        </is>
      </c>
      <c r="F11" s="258" t="inlineStr">
        <is>
          <t>./gradlew build</t>
        </is>
      </c>
      <c r="G11" s="258" t="inlineStr">
        <is>
          <t>Manual Auto/WiFi/GSM/LoRa selection</t>
        </is>
      </c>
      <c r="H11" s="258" t="inlineStr">
        <is>
          <t>Planned</t>
        </is>
      </c>
      <c r="I11" s="258" t="inlineStr">
        <is>
          <t>2026-05-05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</sheetData>
  <mergeCells count="1">
    <mergeCell ref="A1:I1"/>
  </mergeCells>
  <dataValidations count="1">
    <dataValidation sqref="I4:I12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34" customWidth="1" style="51" min="2" max="2"/>
    <col width="32" customWidth="1" style="51" min="3" max="3"/>
    <col width="32" customWidth="1" style="51" min="4" max="4"/>
    <col width="28" customWidth="1" style="51" min="5" max="5"/>
    <col width="24" customWidth="1" style="51" min="6" max="6"/>
    <col width="36" customWidth="1" style="51" min="7" max="7"/>
    <col width="14" customWidth="1" style="51" min="8" max="8"/>
  </cols>
  <sheetData>
    <row r="1">
      <c r="A1" s="233" t="inlineStr">
        <is>
          <t>Codex CLI on MacBook Pro M1 Max</t>
        </is>
      </c>
      <c r="B1" s="233" t="str"/>
      <c r="C1" s="233" t="str"/>
      <c r="D1" s="233" t="str"/>
      <c r="E1" s="233" t="str"/>
      <c r="F1" s="233" t="str"/>
      <c r="G1" s="233" t="str"/>
      <c r="H1" s="233" t="str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</row>
    <row r="3">
      <c r="A3" s="241" t="inlineStr">
        <is>
          <t>Step</t>
        </is>
      </c>
      <c r="B3" s="241" t="inlineStr">
        <is>
          <t>Command / Action</t>
        </is>
      </c>
      <c r="C3" s="241" t="inlineStr">
        <is>
          <t>Purpose</t>
        </is>
      </c>
      <c r="D3" s="241" t="inlineStr">
        <is>
          <t>Expected result</t>
        </is>
      </c>
      <c r="E3" s="241" t="inlineStr">
        <is>
          <t>When to use</t>
        </is>
      </c>
      <c r="F3" s="241" t="inlineStr">
        <is>
          <t>Workbook evidence</t>
        </is>
      </c>
      <c r="G3" s="241" t="inlineStr">
        <is>
          <t>Risk / Warning</t>
        </is>
      </c>
      <c r="H3" s="241" t="inlineStr">
        <is>
          <t>Status</t>
        </is>
      </c>
    </row>
    <row r="4">
      <c r="A4" s="258" t="inlineStr">
        <is>
          <t>1</t>
        </is>
      </c>
      <c r="B4" s="258" t="inlineStr">
        <is>
          <t>Create/clone GitHub repo locally</t>
        </is>
      </c>
      <c r="C4" s="258" t="inlineStr">
        <is>
          <t>Prepare local project folder for Codex CLI</t>
        </is>
      </c>
      <c r="D4" s="258" t="inlineStr">
        <is>
          <t>Repo folder exists on Mac</t>
        </is>
      </c>
      <c r="E4" s="258" t="inlineStr">
        <is>
          <t>Before local Codex tasks</t>
        </is>
      </c>
      <c r="F4" s="258" t="inlineStr">
        <is>
          <t>Screenshot or terminal output</t>
        </is>
      </c>
      <c r="G4" s="258" t="inlineStr">
        <is>
          <t>Do not create duplicate unrelated folders</t>
        </is>
      </c>
      <c r="H4" s="258" t="inlineStr">
        <is>
          <t>Planned</t>
        </is>
      </c>
    </row>
    <row r="5">
      <c r="A5" s="258" t="inlineStr">
        <is>
          <t>2</t>
        </is>
      </c>
      <c r="B5" s="258" t="inlineStr">
        <is>
          <t>cd pup-manet-emergency-messaging</t>
        </is>
      </c>
      <c r="C5" s="258" t="inlineStr">
        <is>
          <t>Enter repo root before running Codex</t>
        </is>
      </c>
      <c r="D5" s="258" t="inlineStr">
        <is>
          <t>Terminal path is repo root</t>
        </is>
      </c>
      <c r="E5" s="258" t="inlineStr">
        <is>
          <t>Every CLI session</t>
        </is>
      </c>
      <c r="F5" s="258" t="inlineStr">
        <is>
          <t>Terminal output</t>
        </is>
      </c>
      <c r="G5" s="258" t="inlineStr">
        <is>
          <t>Running Codex outside repo may edit wrong folder</t>
        </is>
      </c>
      <c r="H5" s="258" t="inlineStr">
        <is>
          <t>Planned</t>
        </is>
      </c>
    </row>
    <row r="6">
      <c r="A6" s="258" t="inlineStr">
        <is>
          <t>3</t>
        </is>
      </c>
      <c r="B6" s="258" t="inlineStr">
        <is>
          <t>codex</t>
        </is>
      </c>
      <c r="C6" s="258" t="inlineStr">
        <is>
          <t>Start Codex CLI</t>
        </is>
      </c>
      <c r="D6" s="258" t="inlineStr">
        <is>
          <t>Interactive Codex session opens</t>
        </is>
      </c>
      <c r="E6" s="258" t="inlineStr">
        <is>
          <t>Local review/editing</t>
        </is>
      </c>
      <c r="F6" s="258" t="inlineStr">
        <is>
          <t>Screenshot or note</t>
        </is>
      </c>
      <c r="G6" s="258" t="inlineStr">
        <is>
          <t>Do not approve large rewrites without review</t>
        </is>
      </c>
      <c r="H6" s="258" t="inlineStr">
        <is>
          <t>Planned</t>
        </is>
      </c>
    </row>
    <row r="7">
      <c r="A7" s="258" t="inlineStr">
        <is>
          <t>4</t>
        </is>
      </c>
      <c r="B7" s="258" t="inlineStr">
        <is>
          <t>Ask Codex to inspect only first</t>
        </is>
      </c>
      <c r="C7" s="258" t="inlineStr">
        <is>
          <t>Prevent unnecessary rewrites</t>
        </is>
      </c>
      <c r="D7" s="258" t="inlineStr">
        <is>
          <t>Codex reports findings before changing files</t>
        </is>
      </c>
      <c r="E7" s="258" t="inlineStr">
        <is>
          <t>Before any coding task</t>
        </is>
      </c>
      <c r="F7" s="258" t="inlineStr">
        <is>
          <t>Codex summary</t>
        </is>
      </c>
      <c r="G7" s="258" t="inlineStr">
        <is>
          <t>Must keep changes scoped to workbook step</t>
        </is>
      </c>
      <c r="H7" s="258" t="inlineStr">
        <is>
          <t>Planned</t>
        </is>
      </c>
    </row>
    <row r="8">
      <c r="A8" s="258" t="inlineStr">
        <is>
          <t>5</t>
        </is>
      </c>
      <c r="B8" s="258" t="inlineStr">
        <is>
          <t>Run local build/test commands</t>
        </is>
      </c>
      <c r="C8" s="258" t="inlineStr">
        <is>
          <t>Verify code before commit/PR</t>
        </is>
      </c>
      <c r="D8" s="258" t="inlineStr">
        <is>
          <t>Build/test output available</t>
        </is>
      </c>
      <c r="E8" s="258" t="inlineStr">
        <is>
          <t>After Codex changes</t>
        </is>
      </c>
      <c r="F8" s="258" t="inlineStr">
        <is>
          <t>Build log</t>
        </is>
      </c>
      <c r="G8" s="258" t="inlineStr">
        <is>
          <t>Hardware tests still require actual devices</t>
        </is>
      </c>
      <c r="H8" s="258" t="inlineStr">
        <is>
          <t>Planned</t>
        </is>
      </c>
    </row>
    <row r="9">
      <c r="A9" s="258" t="inlineStr">
        <is>
          <t>6</t>
        </is>
      </c>
      <c r="B9" s="258" t="inlineStr">
        <is>
          <t>git status / git diff</t>
        </is>
      </c>
      <c r="C9" s="258" t="inlineStr">
        <is>
          <t>Review changed files</t>
        </is>
      </c>
      <c r="D9" s="258" t="inlineStr">
        <is>
          <t>Only expected files changed</t>
        </is>
      </c>
      <c r="E9" s="258" t="inlineStr">
        <is>
          <t>Before commit</t>
        </is>
      </c>
      <c r="F9" s="258" t="inlineStr">
        <is>
          <t>Diff summary</t>
        </is>
      </c>
      <c r="G9" s="258" t="inlineStr">
        <is>
          <t>Never commit secrets or local config</t>
        </is>
      </c>
      <c r="H9" s="258" t="inlineStr">
        <is>
          <t>Planned</t>
        </is>
      </c>
    </row>
    <row r="10">
      <c r="A10" s="258" t="inlineStr">
        <is>
          <t>7</t>
        </is>
      </c>
      <c r="B10" s="258" t="inlineStr">
        <is>
          <t>Commit and push branch</t>
        </is>
      </c>
      <c r="C10" s="258" t="inlineStr">
        <is>
          <t>Send work to GitHub</t>
        </is>
      </c>
      <c r="D10" s="258" t="inlineStr">
        <is>
          <t>Branch visible in GitHub</t>
        </is>
      </c>
      <c r="E10" s="258" t="inlineStr">
        <is>
          <t>After successful review</t>
        </is>
      </c>
      <c r="F10" s="258" t="inlineStr">
        <is>
          <t>Commit hash</t>
        </is>
      </c>
      <c r="G10" s="258" t="inlineStr">
        <is>
          <t>Use meaningful commit messages</t>
        </is>
      </c>
      <c r="H10" s="258" t="inlineStr">
        <is>
          <t>Planned</t>
        </is>
      </c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2026-05-12T13:38:51Z</dcterms:created>
  <dcterms:modified xmlns:dcterms="http://purl.org/dc/terms/" xmlns:xsi="http://www.w3.org/2001/XMLSchema-instance" xsi:type="dcterms:W3CDTF">2026-05-13T03:09:49Z</dcterms:modified>
</cp:coreProperties>
</file>