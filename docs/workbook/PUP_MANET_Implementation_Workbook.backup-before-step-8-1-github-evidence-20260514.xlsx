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drawings/drawing2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rchitecture" sheetId="3" state="visible" r:id="rId3"/>
    <sheet xmlns:r="http://schemas.openxmlformats.org/officeDocument/2006/relationships" name="Phase Plan" sheetId="4" state="visible" r:id="rId4"/>
    <sheet xmlns:r="http://schemas.openxmlformats.org/officeDocument/2006/relationships" name="Detailed Steps" sheetId="5" state="visible" r:id="rId5"/>
    <sheet xmlns:r="http://schemas.openxmlformats.org/officeDocument/2006/relationships" name="Hardware BOM" sheetId="6" state="visible" r:id="rId6"/>
    <sheet xmlns:r="http://schemas.openxmlformats.org/officeDocument/2006/relationships" name="Config Tracker" sheetId="7" state="visible" r:id="rId7"/>
    <sheet xmlns:r="http://schemas.openxmlformats.org/officeDocument/2006/relationships" name="Packet Protocol" sheetId="8" state="visible" r:id="rId8"/>
    <sheet xmlns:r="http://schemas.openxmlformats.org/officeDocument/2006/relationships" name="Routing &amp; Failover" sheetId="9" state="visible" r:id="rId9"/>
    <sheet xmlns:r="http://schemas.openxmlformats.org/officeDocument/2006/relationships" name="Simulation Plan" sheetId="10" state="visible" r:id="rId10"/>
    <sheet xmlns:r="http://schemas.openxmlformats.org/officeDocument/2006/relationships" name="Android App Plan" sheetId="11" state="visible" r:id="rId11"/>
    <sheet xmlns:r="http://schemas.openxmlformats.org/officeDocument/2006/relationships" name="Test Campaign" sheetId="12" state="visible" r:id="rId12"/>
    <sheet xmlns:r="http://schemas.openxmlformats.org/officeDocument/2006/relationships" name="Progress Tracker" sheetId="13" state="visible" r:id="rId13"/>
    <sheet xmlns:r="http://schemas.openxmlformats.org/officeDocument/2006/relationships" name="Issue Log" sheetId="14" state="visible" r:id="rId14"/>
    <sheet xmlns:r="http://schemas.openxmlformats.org/officeDocument/2006/relationships" name="Decision Log" sheetId="15" state="visible" r:id="rId15"/>
    <sheet xmlns:r="http://schemas.openxmlformats.org/officeDocument/2006/relationships" name="System Diagram" sheetId="16" state="visible" r:id="rId16"/>
    <sheet xmlns:r="http://schemas.openxmlformats.org/officeDocument/2006/relationships" name="Data Flow" sheetId="17" state="visible" r:id="rId17"/>
    <sheet xmlns:r="http://schemas.openxmlformats.org/officeDocument/2006/relationships" name="Codex GitHub Workflow" sheetId="18" state="visible" r:id="rId18"/>
    <sheet xmlns:r="http://schemas.openxmlformats.org/officeDocument/2006/relationships" name="Codex Task Prompts" sheetId="19" state="visible" r:id="rId19"/>
    <sheet xmlns:r="http://schemas.openxmlformats.org/officeDocument/2006/relationships" name="Repo Structure" sheetId="20" state="visible" r:id="rId20"/>
    <sheet xmlns:r="http://schemas.openxmlformats.org/officeDocument/2006/relationships" name="Codex CLI on Mac" sheetId="21" state="visible" r:id="rId21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20">
    <font>
      <name val="Carlito"/>
      <sz val="11"/>
    </font>
    <font>
      <name val="Carlito"/>
      <b val="1"/>
      <color rgb="00FFFFFF"/>
      <sz val="16"/>
    </font>
    <font>
      <name val="Carlito"/>
      <b val="1"/>
      <color rgb="00000000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color rgb="00166534"/>
      <sz val="11"/>
    </font>
    <font>
      <name val="Carlito"/>
      <b val="1"/>
      <color rgb="0092400E"/>
      <sz val="11"/>
    </font>
    <font>
      <name val="Carlito"/>
      <b val="1"/>
      <color rgb="00991B1B"/>
      <sz val="11"/>
    </font>
    <font>
      <name val="Carlito"/>
      <b val="1"/>
      <color rgb="00334155"/>
      <sz val="11"/>
    </font>
    <font>
      <name val="Carlito"/>
      <b val="1"/>
      <sz val="11"/>
    </font>
    <font>
      <name val="Carlito"/>
      <color rgb="00334155"/>
      <sz val="11"/>
    </font>
    <font>
      <name val="Carlito"/>
      <b val="1"/>
      <color rgb="00075985"/>
      <sz val="11"/>
    </font>
    <font>
      <name val="Carlito"/>
      <b val="1"/>
      <color rgb="00334155"/>
      <sz val="18"/>
    </font>
    <font>
      <name val="Carlito"/>
      <b val="1"/>
      <color rgb="00FFFFFF"/>
      <sz val="13"/>
    </font>
    <font>
      <name val="Carlito"/>
      <b val="1"/>
      <color rgb="00111827"/>
      <sz val="11"/>
    </font>
    <font>
      <name val="Carlito"/>
      <b val="1"/>
      <color rgb="009A3412"/>
      <sz val="11"/>
    </font>
    <font>
      <name val="Carlito"/>
      <b val="1"/>
      <color rgb="00FFFFFF"/>
      <sz val="14"/>
    </font>
    <font>
      <name val="Carlito"/>
      <b val="1"/>
      <color rgb="000B1F4D"/>
      <sz val="11"/>
    </font>
    <font>
      <name val="Carlito"/>
      <color rgb="007A4D00"/>
      <sz val="11"/>
    </font>
    <font>
      <b val="1"/>
    </font>
  </fonts>
  <fills count="2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0B2A61"/>
      </patternFill>
    </fill>
    <fill>
      <patternFill patternType="solid">
        <fgColor rgb="00EAF3FF"/>
      </patternFill>
    </fill>
    <fill>
      <patternFill patternType="solid">
        <fgColor rgb="00FFF7ED"/>
      </patternFill>
    </fill>
    <fill>
      <patternFill patternType="solid">
        <fgColor rgb="000B1F4D"/>
      </patternFill>
    </fill>
    <fill>
      <patternFill patternType="solid">
        <fgColor rgb="001D4ED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8"/>
      </patternFill>
    </fill>
    <fill>
      <patternFill patternType="solid">
        <fgColor rgb="000B1F33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1">
    <border/>
    <border/>
    <border>
      <left>
        <color rgb="0064748B"/>
      </left>
      <right>
        <color rgb="00CBD5E1"/>
      </right>
      <top>
        <color rgb="0064748B"/>
      </top>
      <bottom>
        <color rgb="00CBD5E1"/>
      </bottom>
    </border>
    <border>
      <left>
        <color rgb="00CBD5E1"/>
      </left>
      <right>
        <color rgb="0064748B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64748B"/>
      </bottom>
    </border>
    <border>
      <left>
        <color rgb="00CBD5E1"/>
      </left>
      <right>
        <color rgb="0064748B"/>
      </right>
      <top>
        <color rgb="00CBD5E1"/>
      </top>
      <bottom>
        <color rgb="0064748B"/>
      </bottom>
    </border>
    <border>
      <left>
        <color rgb="00CBD5E1"/>
      </left>
      <right>
        <color rgb="00CBD5E1"/>
      </right>
      <top>
        <color rgb="0064748B"/>
      </top>
      <bottom>
        <color rgb="00CBD5E1"/>
      </bottom>
    </border>
    <border>
      <left>
        <color rgb="0064748B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CBD5E1"/>
      </bottom>
    </border>
    <border>
      <left>
        <color rgb="00CBD5E1"/>
      </left>
      <right>
        <color rgb="0064748B"/>
      </right>
      <top>
        <color rgb="00CBD5E1"/>
      </top>
      <bottom>
        <color rgb="00CBD5E1"/>
      </bottom>
    </border>
    <border>
      <left>
        <color rgb="00CBD5E1"/>
      </left>
      <right>
        <color rgb="00CBD5E1"/>
      </right>
      <top>
        <color rgb="00CBD5E1"/>
      </top>
      <bottom>
        <color rgb="0064748B"/>
      </bottom>
    </border>
  </borders>
  <cellStyleXfs count="1">
    <xf numFmtId="0" fontId="0" fillId="0" borderId="1"/>
  </cellStyleXfs>
  <cellXfs count="27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0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top" wrapText="1"/>
    </xf>
    <xf numFmtId="9" fontId="0" fillId="0" borderId="0" applyAlignment="1" pivotButton="0" quotePrefix="0" xfId="0">
      <alignment vertical="top"/>
    </xf>
    <xf numFmtId="0" fontId="3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9" fontId="0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horizontal="center"/>
    </xf>
    <xf numFmtId="0" fontId="3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wrapText="1"/>
    </xf>
    <xf numFmtId="0" fontId="5" fillId="8" borderId="0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8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0" fillId="9" borderId="0" pivotButton="0" quotePrefix="0" xfId="0"/>
    <xf numFmtId="0" fontId="6" fillId="9" borderId="0" pivotButton="0" quotePrefix="0" xfId="0"/>
    <xf numFmtId="0" fontId="6" fillId="9" borderId="0" applyAlignment="1" pivotButton="0" quotePrefix="0" xfId="0">
      <alignment wrapText="1"/>
    </xf>
    <xf numFmtId="0" fontId="6" fillId="9" borderId="0" applyAlignment="1" pivotButton="0" quotePrefix="0" xfId="0">
      <alignment horizontal="center" wrapText="1"/>
    </xf>
    <xf numFmtId="0" fontId="6" fillId="9" borderId="0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6" fillId="9" borderId="8" applyAlignment="1" pivotButton="0" quotePrefix="0" xfId="0">
      <alignment horizontal="center" vertical="center" wrapText="1"/>
    </xf>
    <xf numFmtId="0" fontId="6" fillId="9" borderId="9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 wrapText="1"/>
    </xf>
    <xf numFmtId="0" fontId="6" fillId="9" borderId="5" applyAlignment="1" pivotButton="0" quotePrefix="0" xfId="0">
      <alignment horizontal="center" vertical="center" wrapText="1"/>
    </xf>
    <xf numFmtId="0" fontId="0" fillId="10" borderId="0" pivotButton="0" quotePrefix="0" xfId="0"/>
    <xf numFmtId="0" fontId="7" fillId="10" borderId="0" pivotButton="0" quotePrefix="0" xfId="0"/>
    <xf numFmtId="0" fontId="7" fillId="10" borderId="0" applyAlignment="1" pivotButton="0" quotePrefix="0" xfId="0">
      <alignment wrapText="1"/>
    </xf>
    <xf numFmtId="0" fontId="7" fillId="10" borderId="0" applyAlignment="1" pivotButton="0" quotePrefix="0" xfId="0">
      <alignment horizontal="center" wrapText="1"/>
    </xf>
    <xf numFmtId="0" fontId="7" fillId="10" borderId="0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6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horizontal="center" vertical="center" wrapText="1"/>
    </xf>
    <xf numFmtId="0" fontId="7" fillId="10" borderId="10" applyAlignment="1" pivotButton="0" quotePrefix="0" xfId="0">
      <alignment horizontal="center"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7" applyAlignment="1" pivotButton="0" quotePrefix="0" xfId="0">
      <alignment horizontal="center" vertical="center" wrapText="1"/>
    </xf>
    <xf numFmtId="0" fontId="7" fillId="10" borderId="9" applyAlignment="1" pivotButton="0" quotePrefix="0" xfId="0">
      <alignment horizontal="center" vertical="center" wrapText="1"/>
    </xf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0" fillId="11" borderId="0" pivotButton="0" quotePrefix="0" xfId="0"/>
    <xf numFmtId="0" fontId="9" fillId="11" borderId="0" pivotButton="0" quotePrefix="0" xfId="0"/>
    <xf numFmtId="0" fontId="9" fillId="11" borderId="0" applyAlignment="1" pivotButton="0" quotePrefix="0" xfId="0">
      <alignment horizontal="center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10" fillId="12" borderId="0" applyAlignment="1" pivotButton="0" quotePrefix="0" xfId="0">
      <alignment vertical="top" wrapText="1"/>
    </xf>
    <xf numFmtId="0" fontId="9" fillId="11" borderId="2" applyAlignment="1" pivotButton="0" quotePrefix="0" xfId="0">
      <alignment horizontal="center"/>
    </xf>
    <xf numFmtId="0" fontId="10" fillId="12" borderId="6" applyAlignment="1" pivotButton="0" quotePrefix="0" xfId="0">
      <alignment vertical="top" wrapText="1"/>
    </xf>
    <xf numFmtId="0" fontId="10" fillId="12" borderId="3" applyAlignment="1" pivotButton="0" quotePrefix="0" xfId="0">
      <alignment vertical="top" wrapText="1"/>
    </xf>
    <xf numFmtId="0" fontId="9" fillId="11" borderId="7" applyAlignment="1" pivotButton="0" quotePrefix="0" xfId="0">
      <alignment horizontal="center"/>
    </xf>
    <xf numFmtId="0" fontId="10" fillId="12" borderId="8" applyAlignment="1" pivotButton="0" quotePrefix="0" xfId="0">
      <alignment vertical="top" wrapText="1"/>
    </xf>
    <xf numFmtId="0" fontId="10" fillId="12" borderId="9" applyAlignment="1" pivotButton="0" quotePrefix="0" xfId="0">
      <alignment vertical="top" wrapText="1"/>
    </xf>
    <xf numFmtId="0" fontId="9" fillId="11" borderId="4" applyAlignment="1" pivotButton="0" quotePrefix="0" xfId="0">
      <alignment horizontal="center"/>
    </xf>
    <xf numFmtId="0" fontId="10" fillId="12" borderId="10" applyAlignment="1" pivotButton="0" quotePrefix="0" xfId="0">
      <alignment vertical="top" wrapText="1"/>
    </xf>
    <xf numFmtId="0" fontId="10" fillId="12" borderId="5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0" fillId="12" borderId="7" applyAlignment="1" pivotButton="0" quotePrefix="0" xfId="0">
      <alignment vertical="top" wrapText="1"/>
    </xf>
    <xf numFmtId="0" fontId="10" fillId="12" borderId="4" applyAlignment="1" pivotButton="0" quotePrefix="0" xfId="0">
      <alignment vertical="top" wrapText="1"/>
    </xf>
    <xf numFmtId="0" fontId="10" fillId="11" borderId="2" applyAlignment="1" pivotButton="0" quotePrefix="0" xfId="0">
      <alignment vertical="top" wrapText="1"/>
    </xf>
    <xf numFmtId="0" fontId="10" fillId="11" borderId="7" applyAlignment="1" pivotButton="0" quotePrefix="0" xfId="0">
      <alignment vertical="top" wrapText="1"/>
    </xf>
    <xf numFmtId="0" fontId="10" fillId="11" borderId="4" applyAlignment="1" pivotButton="0" quotePrefix="0" xfId="0">
      <alignment vertical="top" wrapText="1"/>
    </xf>
    <xf numFmtId="0" fontId="11" fillId="11" borderId="2" applyAlignment="1" pivotButton="0" quotePrefix="0" xfId="0">
      <alignment vertical="top" wrapText="1"/>
    </xf>
    <xf numFmtId="0" fontId="11" fillId="11" borderId="7" applyAlignment="1" pivotButton="0" quotePrefix="0" xfId="0">
      <alignment vertical="top" wrapText="1"/>
    </xf>
    <xf numFmtId="0" fontId="11" fillId="11" borderId="4" applyAlignment="1" pivotButton="0" quotePrefix="0" xfId="0">
      <alignment vertical="top" wrapText="1"/>
    </xf>
    <xf numFmtId="0" fontId="10" fillId="9" borderId="3" applyAlignment="1" pivotButton="0" quotePrefix="0" xfId="0">
      <alignment vertical="top" wrapText="1"/>
    </xf>
    <xf numFmtId="0" fontId="10" fillId="9" borderId="9" applyAlignment="1" pivotButton="0" quotePrefix="0" xfId="0">
      <alignment vertical="top" wrapText="1"/>
    </xf>
    <xf numFmtId="0" fontId="10" fillId="9" borderId="5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6" fillId="9" borderId="9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6" fillId="9" borderId="3" applyAlignment="1" pivotButton="0" quotePrefix="0" xfId="0">
      <alignment horizontal="center" vertical="top" wrapText="1"/>
    </xf>
    <xf numFmtId="0" fontId="6" fillId="9" borderId="9" applyAlignment="1" pivotButton="0" quotePrefix="0" xfId="0">
      <alignment horizontal="center" vertical="top" wrapText="1"/>
    </xf>
    <xf numFmtId="0" fontId="6" fillId="9" borderId="5" applyAlignment="1" pivotButton="0" quotePrefix="0" xfId="0">
      <alignment horizontal="center" vertical="top" wrapText="1"/>
    </xf>
    <xf numFmtId="0" fontId="4" fillId="7" borderId="7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0" fillId="6" borderId="0" applyAlignment="1" pivotButton="0" quotePrefix="0" xfId="0">
      <alignment vertical="top"/>
    </xf>
    <xf numFmtId="0" fontId="3" fillId="6" borderId="0" applyAlignment="1" pivotButton="0" quotePrefix="0" xfId="0">
      <alignment vertical="top"/>
    </xf>
    <xf numFmtId="0" fontId="3" fillId="6" borderId="0" applyAlignment="1" pivotButton="0" quotePrefix="0" xfId="0">
      <alignment horizontal="center" vertical="top"/>
    </xf>
    <xf numFmtId="0" fontId="0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/>
    </xf>
    <xf numFmtId="0" fontId="11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/>
    </xf>
    <xf numFmtId="0" fontId="10" fillId="12" borderId="0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1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left" vertical="top"/>
    </xf>
    <xf numFmtId="0" fontId="13" fillId="13" borderId="0" applyAlignment="1" pivotButton="0" quotePrefix="0" xfId="0">
      <alignment horizontal="center" vertical="top"/>
    </xf>
    <xf numFmtId="0" fontId="13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4" fillId="14" borderId="0" pivotButton="0" quotePrefix="0" xfId="0"/>
    <xf numFmtId="0" fontId="14" fillId="14" borderId="0" applyAlignment="1" pivotButton="0" quotePrefix="0" xfId="0">
      <alignment horizontal="center"/>
    </xf>
    <xf numFmtId="0" fontId="14" fillId="14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13" fillId="13" borderId="0" pivotButton="0" quotePrefix="0" xfId="0"/>
    <xf numFmtId="0" fontId="13" fillId="13" borderId="0" applyAlignment="1" pivotButton="0" quotePrefix="0" xfId="0">
      <alignment horizontal="center"/>
    </xf>
    <xf numFmtId="0" fontId="0" fillId="15" borderId="0" pivotButton="0" quotePrefix="0" xfId="0"/>
    <xf numFmtId="0" fontId="15" fillId="15" borderId="0" pivotButton="0" quotePrefix="0" xfId="0"/>
    <xf numFmtId="0" fontId="15" fillId="15" borderId="0" applyAlignment="1" pivotButton="0" quotePrefix="0" xfId="0">
      <alignment horizontal="left"/>
    </xf>
    <xf numFmtId="0" fontId="15" fillId="15" borderId="0" applyAlignment="1" pivotButton="0" quotePrefix="0" xfId="0">
      <alignment horizontal="left" vertical="center"/>
    </xf>
    <xf numFmtId="0" fontId="14" fillId="14" borderId="0" applyAlignment="1" pivotButton="0" quotePrefix="0" xfId="0">
      <alignment wrapText="1"/>
    </xf>
    <xf numFmtId="0" fontId="0" fillId="16" borderId="0" pivotButton="0" quotePrefix="0" xfId="0"/>
    <xf numFmtId="0" fontId="16" fillId="16" borderId="0" pivotButton="0" quotePrefix="0" xfId="0"/>
    <xf numFmtId="0" fontId="16" fillId="16" borderId="0" applyAlignment="1" pivotButton="0" quotePrefix="0" xfId="0">
      <alignment horizontal="center"/>
    </xf>
    <xf numFmtId="0" fontId="16" fillId="16" borderId="0" applyAlignment="1" pivotButton="0" quotePrefix="0" xfId="0">
      <alignment horizontal="center" vertical="center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horizontal="left"/>
    </xf>
    <xf numFmtId="0" fontId="3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17" fillId="18" borderId="0" pivotButton="0" quotePrefix="0" xfId="0"/>
    <xf numFmtId="0" fontId="17" fillId="18" borderId="0" applyAlignment="1" pivotButton="0" quotePrefix="0" xfId="0">
      <alignment wrapText="1"/>
    </xf>
    <xf numFmtId="0" fontId="17" fillId="18" borderId="0" applyAlignment="1" pivotButton="0" quotePrefix="0" xfId="0">
      <alignment horizontal="center" wrapText="1"/>
    </xf>
    <xf numFmtId="0" fontId="17" fillId="18" borderId="0" applyAlignment="1" pivotButton="0" quotePrefix="0" xfId="0">
      <alignment horizontal="center" vertical="center" wrapText="1"/>
    </xf>
    <xf numFmtId="0" fontId="0" fillId="19" borderId="0" pivotButton="0" quotePrefix="0" xfId="0"/>
    <xf numFmtId="0" fontId="18" fillId="19" borderId="0" pivotButton="0" quotePrefix="0" xfId="0"/>
    <xf numFmtId="0" fontId="18" fillId="19" borderId="0" applyAlignment="1" pivotButton="0" quotePrefix="0" xfId="0">
      <alignment wrapText="1"/>
    </xf>
    <xf numFmtId="0" fontId="18" fillId="19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9" fillId="20" borderId="0" applyAlignment="1" pivotButton="0" quotePrefix="0" xfId="0">
      <alignment vertical="top" wrapText="1"/>
    </xf>
    <xf numFmtId="0" fontId="1" fillId="16" borderId="0" applyAlignment="1" pivotButton="0" quotePrefix="0" xfId="0">
      <alignment horizontal="left" vertical="top"/>
    </xf>
    <xf numFmtId="0" fontId="0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vertical="top"/>
    </xf>
    <xf numFmtId="0" fontId="16" fillId="16" borderId="0" applyAlignment="1" pivotButton="0" quotePrefix="0" xfId="0">
      <alignment horizontal="center" vertical="top"/>
    </xf>
    <xf numFmtId="0" fontId="3" fillId="18" borderId="0" applyAlignment="1" pivotButton="0" quotePrefix="0" xfId="0">
      <alignment horizontal="center" vertical="top" wrapText="1"/>
    </xf>
    <xf numFmtId="0" fontId="17" fillId="18" borderId="0" applyAlignment="1" pivotButton="0" quotePrefix="0" xfId="0">
      <alignment horizontal="center" vertical="top" wrapText="1"/>
    </xf>
    <xf numFmtId="0" fontId="0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vertical="top" wrapText="1"/>
    </xf>
    <xf numFmtId="0" fontId="3" fillId="17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center" wrapText="1"/>
    </xf>
    <xf numFmtId="0" fontId="13" fillId="13" borderId="0" applyAlignment="1" pivotButton="0" quotePrefix="0" xfId="0">
      <alignment horizontal="center" vertical="top" wrapText="1"/>
    </xf>
    <xf numFmtId="0" fontId="14" fillId="14" borderId="0" applyAlignment="1" pivotButton="0" quotePrefix="0" xfId="0">
      <alignment vertical="top" wrapText="1"/>
    </xf>
    <xf numFmtId="0" fontId="13" fillId="20" borderId="0" applyAlignment="1" pivotButton="0" quotePrefix="0" xfId="0">
      <alignment horizontal="center" vertical="top" wrapText="1"/>
    </xf>
    <xf numFmtId="0" fontId="14" fillId="20" borderId="0" applyAlignment="1" pivotButton="0" quotePrefix="0" xfId="0">
      <alignment vertical="top" wrapText="1"/>
    </xf>
    <xf numFmtId="0" fontId="0" fillId="17" borderId="0" applyAlignment="1" pivotButton="0" quotePrefix="0" xfId="0">
      <alignment vertical="top"/>
    </xf>
    <xf numFmtId="0" fontId="3" fillId="17" borderId="0" applyAlignment="1" pivotButton="0" quotePrefix="0" xfId="0">
      <alignment vertical="top"/>
    </xf>
    <xf numFmtId="0" fontId="3" fillId="17" borderId="0" applyAlignment="1" pivotButton="0" quotePrefix="0" xfId="0">
      <alignment horizontal="left" vertical="top"/>
    </xf>
    <xf numFmtId="0" fontId="0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/>
    </xf>
    <xf numFmtId="0" fontId="17" fillId="18" borderId="0" applyAlignment="1" pivotButton="0" quotePrefix="0" xfId="0">
      <alignment vertical="top" wrapText="1"/>
    </xf>
    <xf numFmtId="0" fontId="16" fillId="16" borderId="0" applyAlignment="1" pivotButton="0" quotePrefix="0" xfId="0">
      <alignment horizontal="center" vertical="center" wrapText="1"/>
    </xf>
    <xf numFmtId="0" fontId="16" fillId="16" borderId="0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17" fillId="3" borderId="0" pivotButton="0" quotePrefix="0" xfId="0"/>
    <xf numFmtId="0" fontId="17" fillId="3" borderId="0" applyAlignment="1" pivotButton="0" quotePrefix="0" xfId="0">
      <alignment wrapText="1"/>
    </xf>
    <xf numFmtId="0" fontId="17" fillId="3" borderId="0" applyAlignment="1" pivotButton="0" quotePrefix="0" xfId="0">
      <alignment horizontal="center" wrapText="1"/>
    </xf>
    <xf numFmtId="0" fontId="17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top" wrapText="1"/>
    </xf>
    <xf numFmtId="0" fontId="17" fillId="3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/>
    </xf>
    <xf numFmtId="0" fontId="17" fillId="3" borderId="0" applyAlignment="1" pivotButton="0" quotePrefix="0" xfId="0">
      <alignment vertical="top" wrapText="1"/>
    </xf>
    <xf numFmtId="0" fontId="16" fillId="21" borderId="0" applyAlignment="1" pivotButton="0" quotePrefix="0" xfId="0">
      <alignment horizontal="center" vertical="top" wrapText="1"/>
    </xf>
    <xf numFmtId="0" fontId="16" fillId="21" borderId="0" applyAlignment="1" pivotButton="0" quotePrefix="0" xfId="0">
      <alignment horizontal="left" vertical="top" wrapText="1"/>
    </xf>
    <xf numFmtId="0" fontId="16" fillId="21" borderId="0" applyAlignment="1" pivotButton="0" quotePrefix="0" xfId="0">
      <alignment horizontal="left" vertical="center" wrapText="1"/>
    </xf>
    <xf numFmtId="0" fontId="2" fillId="22" borderId="0" applyAlignment="1" pivotButton="0" quotePrefix="0" xfId="0">
      <alignment horizontal="center" vertical="top" wrapText="1"/>
    </xf>
    <xf numFmtId="0" fontId="0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vertical="top" wrapText="1"/>
    </xf>
    <xf numFmtId="0" fontId="2" fillId="22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vertical="top" wrapText="1"/>
    </xf>
    <xf numFmtId="0" fontId="3" fillId="23" borderId="0" applyAlignment="1" pivotButton="0" quotePrefix="0" xfId="0">
      <alignment horizontal="center" vertical="top" wrapText="1"/>
    </xf>
    <xf numFmtId="0" fontId="3" fillId="23" borderId="0" applyAlignment="1" pivotButton="0" quotePrefix="0" xfId="0">
      <alignment horizontal="center" vertical="center" wrapText="1"/>
    </xf>
    <xf numFmtId="0" fontId="0" fillId="21" borderId="0" pivotButton="0" quotePrefix="0" xfId="0"/>
    <xf numFmtId="0" fontId="16" fillId="21" borderId="0" pivotButton="0" quotePrefix="0" xfId="0"/>
    <xf numFmtId="0" fontId="16" fillId="21" borderId="0" applyAlignment="1" pivotButton="0" quotePrefix="0" xfId="0">
      <alignment horizontal="left"/>
    </xf>
    <xf numFmtId="0" fontId="16" fillId="21" borderId="0" applyAlignment="1" pivotButton="0" quotePrefix="0" xfId="0">
      <alignment horizontal="left" vertical="center"/>
    </xf>
    <xf numFmtId="0" fontId="0" fillId="23" borderId="0" pivotButton="0" quotePrefix="0" xfId="0"/>
    <xf numFmtId="0" fontId="3" fillId="23" borderId="0" pivotButton="0" quotePrefix="0" xfId="0"/>
    <xf numFmtId="0" fontId="3" fillId="23" borderId="0" applyAlignment="1" pivotButton="0" quotePrefix="0" xfId="0">
      <alignment wrapText="1"/>
    </xf>
    <xf numFmtId="0" fontId="3" fillId="23" borderId="0" applyAlignment="1" pivotButton="0" quotePrefix="0" xfId="0">
      <alignment horizontal="center" wrapText="1"/>
    </xf>
    <xf numFmtId="0" fontId="17" fillId="23" borderId="0" applyAlignment="1" pivotButton="0" quotePrefix="0" xfId="0">
      <alignment horizontal="center" vertical="top" wrapText="1"/>
    </xf>
    <xf numFmtId="0" fontId="0" fillId="21" borderId="0" applyAlignment="1" pivotButton="0" quotePrefix="0" xfId="0">
      <alignment vertical="top"/>
    </xf>
    <xf numFmtId="0" fontId="16" fillId="21" borderId="0" applyAlignment="1" pivotButton="0" quotePrefix="0" xfId="0">
      <alignment vertical="top"/>
    </xf>
    <xf numFmtId="0" fontId="16" fillId="21" borderId="0" applyAlignment="1" pivotButton="0" quotePrefix="0" xfId="0">
      <alignment horizontal="left" vertical="top"/>
    </xf>
    <xf numFmtId="0" fontId="0" fillId="23" borderId="0" applyAlignment="1" pivotButton="0" quotePrefix="0" xfId="0">
      <alignment vertical="top"/>
    </xf>
    <xf numFmtId="0" fontId="3" fillId="2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9" fontId="0" fillId="0" borderId="0" applyAlignment="1" pivotButton="0" quotePrefix="0" xfId="0">
      <alignment vertical="top" wrapText="1"/>
    </xf>
    <xf numFmtId="0" fontId="0" fillId="25" borderId="0" applyAlignment="1" pivotButton="0" quotePrefix="0" xfId="0">
      <alignment vertical="top" wrapText="1"/>
    </xf>
    <xf numFmtId="0" fontId="3" fillId="17" borderId="1" applyAlignment="1" pivotButton="0" quotePrefix="0" xfId="0">
      <alignment horizontal="left" vertical="top" wrapText="1"/>
    </xf>
    <xf numFmtId="0" fontId="13" fillId="20" borderId="1" applyAlignment="1" pivotButton="0" quotePrefix="0" xfId="0">
      <alignment horizontal="center" vertical="top" wrapText="1"/>
    </xf>
    <xf numFmtId="0" fontId="14" fillId="20" borderId="1" applyAlignment="1" pivotButton="0" quotePrefix="0" xfId="0">
      <alignment vertical="top" wrapText="1"/>
    </xf>
    <xf numFmtId="0" fontId="16" fillId="21" borderId="1" applyAlignment="1" pivotButton="0" quotePrefix="0" xfId="0">
      <alignment horizontal="left" vertical="center" wrapText="1"/>
    </xf>
    <xf numFmtId="164" fontId="0" fillId="0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/>
    </xf>
    <xf numFmtId="0" fontId="0" fillId="24" borderId="0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3" fillId="13" borderId="1" applyAlignment="1" pivotButton="0" quotePrefix="0" xfId="0">
      <alignment horizontal="center" vertical="center"/>
    </xf>
    <xf numFmtId="0" fontId="15" fillId="15" borderId="1" applyAlignment="1" pivotButton="0" quotePrefix="0" xfId="0">
      <alignment horizontal="left" vertical="center"/>
    </xf>
    <xf numFmtId="0" fontId="16" fillId="21" borderId="1" applyAlignment="1" pivotButton="0" quotePrefix="0" xfId="0">
      <alignment horizontal="left" vertical="top" wrapText="1"/>
    </xf>
    <xf numFmtId="0" fontId="18" fillId="19" borderId="1" applyAlignment="1" pivotButton="0" quotePrefix="0" xfId="0">
      <alignment vertical="top" wrapText="1"/>
    </xf>
    <xf numFmtId="0" fontId="0" fillId="24" borderId="1" applyAlignment="1" pivotButton="0" quotePrefix="0" xfId="0">
      <alignment vertical="top" wrapText="1"/>
    </xf>
    <xf numFmtId="0" fontId="19" fillId="2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573000" cy="8382000"/>
    <pic>
      <nvPicPr>
        <cNvPr id="1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42" customWidth="1" style="51" min="2" max="2"/>
    <col width="42" customWidth="1" style="51" min="3" max="3"/>
    <col width="18" customWidth="1" style="51" min="4" max="4"/>
    <col width="18" customWidth="1" style="51" min="5" max="5"/>
    <col width="18" customWidth="1" style="51" min="6" max="6"/>
    <col width="22" customWidth="1" style="51" min="7" max="7"/>
    <col width="3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259" t="inlineStr">
        <is>
          <t>MANET Emergency Messaging Prototype - Dashboard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0" t="inlineStr">
        <is>
          <t>Total Steps</t>
        </is>
      </c>
      <c r="B3" s="258">
        <f>COUNTA('Detailed Steps'!A2:A200)</f>
        <v/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40" t="inlineStr">
        <is>
          <t>Done</t>
        </is>
      </c>
      <c r="B4" s="258">
        <f>COUNTIF('Detailed Steps'!F2:F200,"Done")</f>
        <v/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40" t="inlineStr">
        <is>
          <t>In Progress</t>
        </is>
      </c>
      <c r="B5" s="258">
        <f>COUNTIF('Detailed Steps'!F2:F200,"In Progress")</f>
        <v/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40" t="inlineStr">
        <is>
          <t>Blocked</t>
        </is>
      </c>
      <c r="B6" s="258">
        <f>COUNTIF('Detailed Steps'!F2:F200,"Blocked")</f>
        <v/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40" t="inlineStr">
        <is>
          <t>Not Started</t>
        </is>
      </c>
      <c r="B7" s="258">
        <f>COUNTIF('Detailed Steps'!F2:F200,"Not Started")</f>
        <v/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40" t="inlineStr">
        <is>
          <t>Completion</t>
        </is>
      </c>
      <c r="B8" s="260">
        <f>IF(B3=0,0,B4/B3)</f>
        <v/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40" t="inlineStr">
        <is>
          <t>Current Stage</t>
        </is>
      </c>
      <c r="B9" s="258">
        <f>IFERROR(INDEX('Detailed Steps'!B2:B200,MATCH("In Progress",'Detailed Steps'!F2:F200,0)),"Set first active step")</f>
        <v/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40" t="inlineStr">
        <is>
          <t>Next Action</t>
        </is>
      </c>
      <c r="B10" s="258">
        <f>IFERROR(INDEX('Detailed Steps'!D2:D200,MATCH("In Progress",'Detailed Steps'!F2:F200,0)),"Mark next step In Progress")</f>
        <v/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46" t="inlineStr">
        <is>
          <t>Recommended Current Architecture</t>
        </is>
      </c>
      <c r="B12" s="1" t="n"/>
      <c r="C12" s="1" t="n"/>
      <c r="D12" s="1" t="n"/>
      <c r="E12" s="1" t="n"/>
      <c r="F12" s="1" t="n"/>
      <c r="G12" s="1" t="n"/>
      <c r="H12" s="1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42" t="inlineStr">
        <is>
          <t>Layer</t>
        </is>
      </c>
      <c r="B13" s="42" t="inlineStr">
        <is>
          <t>Recommended Implementation</t>
        </is>
      </c>
      <c r="C13" s="42" t="inlineStr">
        <is>
          <t>Reason</t>
        </is>
      </c>
      <c r="D13" s="42" t="inlineStr">
        <is>
          <t>Status</t>
        </is>
      </c>
      <c r="E13" s="42" t="inlineStr">
        <is>
          <t>Owner</t>
        </is>
      </c>
      <c r="F13" s="42" t="inlineStr">
        <is>
          <t>Date</t>
        </is>
      </c>
      <c r="G13" s="42" t="inlineStr">
        <is>
          <t>Evidence</t>
        </is>
      </c>
      <c r="H13" s="42" t="inlineStr">
        <is>
          <t>Notes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inlineStr">
        <is>
          <t>User App</t>
        </is>
      </c>
      <c r="B14" s="258" t="inlineStr">
        <is>
          <t>Android app demo APK with Bluetooth-to-ESP32 typed-message flow</t>
        </is>
      </c>
      <c r="C14" s="258" t="inlineStr">
        <is>
          <t>Supports current client demo without adding future GSM/broadcast scope</t>
        </is>
      </c>
      <c r="D14" s="258" t="inlineStr">
        <is>
          <t>Android Network Selector Validated</t>
        </is>
      </c>
      <c r="E14" s="258" t="inlineStr">
        <is>
          <t>Codex/User</t>
        </is>
      </c>
      <c r="F14" s="258" t="inlineStr">
        <is>
          <t>2026-05-13</t>
        </is>
      </c>
      <c r="G14" s="258" t="inlineStr">
        <is>
          <t>Auto/LoRa/WiFi/GSM selector present; :app:assembleDebug BUILD SUCCESSFUL.</t>
        </is>
      </c>
      <c r="H14" s="258" t="inlineStr">
        <is>
          <t>Step 7.3 validated existing UI/state; no Android code changed.</t>
        </is>
      </c>
      <c r="I14" s="258" t="n"/>
      <c r="J14" s="258" t="n"/>
      <c r="K14" s="258" t="n"/>
      <c r="L14" s="258" t="n"/>
      <c r="M14" s="258" t="n"/>
      <c r="N14" s="258" t="n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8" t="n"/>
      <c r="Y14" s="258" t="n"/>
      <c r="Z14" s="258" t="n"/>
    </row>
    <row r="15">
      <c r="A15" s="261" t="inlineStr">
        <is>
          <t>Gateway</t>
        </is>
      </c>
      <c r="B15" s="261" t="inlineStr">
        <is>
          <t>Raspberry Pi 3B + directly wired LoRa module</t>
        </is>
      </c>
      <c r="C15" s="261" t="inlineStr">
        <is>
          <t>Matches user choice and enables local routing/failover logic</t>
        </is>
      </c>
      <c r="D15" s="261" t="inlineStr">
        <is>
          <t>Gateway Recovery Sim Ready</t>
        </is>
      </c>
      <c r="E15" s="261" t="inlineStr">
        <is>
          <t>Codex/User</t>
        </is>
      </c>
      <c r="F15" s="261" t="inlineStr">
        <is>
          <t>2026-05-13</t>
        </is>
      </c>
      <c r="G15" s="261" t="inlineStr">
        <is>
          <t>Recovery demo restored PRIMARY_LORA after stable 10s; 21 gateway tests passed.</t>
        </is>
      </c>
      <c r="H15" s="261" t="inlineStr">
        <is>
          <t>Simulation baseline includes recovery/reversion. Live RF timing remains future verification.</t>
        </is>
      </c>
      <c r="I15" s="258" t="n"/>
      <c r="J15" s="258" t="n"/>
      <c r="K15" s="258" t="n"/>
      <c r="L15" s="258" t="n"/>
      <c r="M15" s="258" t="n"/>
      <c r="N15" s="258" t="n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8" t="n"/>
      <c r="Y15" s="258" t="n"/>
      <c r="Z15" s="258" t="n"/>
    </row>
    <row r="16">
      <c r="A16" s="258" t="inlineStr">
        <is>
          <t>MANET Node</t>
        </is>
      </c>
      <c r="B16" s="258" t="inlineStr">
        <is>
          <t>ESP32 + SX1278 Ra-02 433 MHz</t>
        </is>
      </c>
      <c r="C16" s="258" t="inlineStr">
        <is>
          <t>Available hardware; good for prototype</t>
        </is>
      </c>
      <c r="D16" s="258" t="inlineStr">
        <is>
          <t>Planned</t>
        </is>
      </c>
      <c r="E16" s="258" t="str"/>
      <c r="F16" s="258" t="str"/>
      <c r="G16" s="258" t="str"/>
      <c r="H16" s="258" t="str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Satellite Simulation</t>
        </is>
      </c>
      <c r="B17" s="258" t="inlineStr">
        <is>
          <t>Two 2.4 GHz WiFi routers connected wirelessly; latency simulated on Pi</t>
        </is>
      </c>
      <c r="C17" s="258" t="inlineStr">
        <is>
          <t>Practical simulation of LEO path without Starlink</t>
        </is>
      </c>
      <c r="D17" s="258" t="inlineStr">
        <is>
          <t>Router + Latency Sim Ready</t>
        </is>
      </c>
      <c r="E17" s="258" t="inlineStr">
        <is>
          <t>Codex/User</t>
        </is>
      </c>
      <c r="F17" s="258" t="inlineStr">
        <is>
          <t>2026-05-13</t>
        </is>
      </c>
      <c r="G17" s="258" t="inlineStr">
        <is>
          <t>Real bridge ping user-confirmed; latency demo measured 600 ms; 13 gateway tests passed.</t>
        </is>
      </c>
      <c r="H17" s="258" t="inlineStr">
        <is>
          <t>Router B is currently 192.168.50.102 in Universal Repeater mode. tc/netem remains optional future hardware verification.</t>
        </is>
      </c>
      <c r="I17" s="258" t="n"/>
      <c r="J17" s="258" t="n"/>
      <c r="K17" s="258" t="n"/>
      <c r="L17" s="258" t="n"/>
      <c r="M17" s="258" t="n"/>
      <c r="N17" s="258" t="n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8" t="n"/>
      <c r="Y17" s="258" t="n"/>
      <c r="Z17" s="258" t="n"/>
    </row>
    <row r="18">
      <c r="A18" s="262" t="inlineStr">
        <is>
          <t>CURRENT DEVELOPMENT WORKFLOW UPDATE</t>
        </is>
      </c>
      <c r="B18" s="1" t="n"/>
      <c r="C18" s="1" t="n"/>
      <c r="D18" s="1" t="n"/>
      <c r="E18" s="1" t="n"/>
      <c r="F18" s="1" t="n"/>
      <c r="G18" s="1" t="n"/>
      <c r="H18" s="1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197" t="inlineStr">
        <is>
          <t>Workflow</t>
        </is>
      </c>
      <c r="B19" s="258" t="inlineStr">
        <is>
          <t>Codex + GitHub + Workbook tracking</t>
        </is>
      </c>
      <c r="C19" s="258" t="str"/>
      <c r="D19" s="258" t="str"/>
      <c r="E19" s="197" t="inlineStr">
        <is>
          <t>Active Constraint</t>
        </is>
      </c>
      <c r="F19" s="258" t="inlineStr">
        <is>
          <t>One workbook step per Codex task</t>
        </is>
      </c>
      <c r="G19" s="258" t="str"/>
      <c r="H19" s="258" t="str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63" t="inlineStr">
        <is>
          <t>Local Tool</t>
        </is>
      </c>
      <c r="B20" s="1" t="n"/>
      <c r="C20" s="1" t="n"/>
      <c r="D20" s="1" t="n"/>
      <c r="E20" s="1" t="n"/>
      <c r="F20" s="1" t="n"/>
      <c r="G20" s="1" t="n"/>
      <c r="H20" s="1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64" t="inlineStr">
        <is>
          <t>Next Step</t>
        </is>
      </c>
      <c r="B21" s="1" t="n"/>
      <c r="C21" s="1" t="n"/>
      <c r="D21" s="1" t="n"/>
      <c r="E21" s="1" t="n"/>
      <c r="F21" s="1" t="n"/>
      <c r="G21" s="1" t="n"/>
      <c r="H21" s="1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197" t="inlineStr">
        <is>
          <t>Workbook Rule</t>
        </is>
      </c>
      <c r="B23" s="258" t="inlineStr">
        <is>
          <t>Update this workbook and commit it after every completed step</t>
        </is>
      </c>
      <c r="C23" s="258" t="str"/>
      <c r="D23" s="258" t="str"/>
      <c r="E23" s="197" t="inlineStr">
        <is>
          <t>Status</t>
        </is>
      </c>
      <c r="F23" s="258" t="inlineStr">
        <is>
          <t>Not Started</t>
        </is>
      </c>
      <c r="G23" s="258" t="str"/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42" t="inlineStr">
        <is>
          <t>Workflow Update</t>
        </is>
      </c>
      <c r="B25" s="242" t="inlineStr">
        <is>
          <t>Primary Tool</t>
        </is>
      </c>
      <c r="C25" s="242" t="inlineStr">
        <is>
          <t>Secondary Tool</t>
        </is>
      </c>
      <c r="D25" s="242" t="inlineStr">
        <is>
          <t>Code Source</t>
        </is>
      </c>
      <c r="E25" s="242" t="inlineStr">
        <is>
          <t>Tracker</t>
        </is>
      </c>
      <c r="F25" s="242" t="inlineStr">
        <is>
          <t>VS Code Role</t>
        </is>
      </c>
      <c r="G25" s="242" t="inlineStr">
        <is>
          <t>Next Step</t>
        </is>
      </c>
      <c r="H25" s="242" t="inlineStr">
        <is>
          <t>Status</t>
        </is>
      </c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inlineStr">
        <is>
          <t>2026-05-05</t>
        </is>
      </c>
      <c r="B26" s="258" t="inlineStr">
        <is>
          <t>Codex Web</t>
        </is>
      </c>
      <c r="C26" s="258" t="inlineStr">
        <is>
          <t>Codex CLI on Mac</t>
        </is>
      </c>
      <c r="D26" s="258" t="inlineStr">
        <is>
          <t>GitHub</t>
        </is>
      </c>
      <c r="E26" s="258" t="inlineStr">
        <is>
          <t>Workbook</t>
        </is>
      </c>
      <c r="F26" s="258" t="inlineStr">
        <is>
          <t>Optional only</t>
        </is>
      </c>
      <c r="G26" s="258" t="inlineStr">
        <is>
          <t>Create GitHub repo baseline</t>
        </is>
      </c>
      <c r="H26" s="258" t="inlineStr">
        <is>
          <t>Ready</t>
        </is>
      </c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2:H12"/>
    <mergeCell ref="A18:H18"/>
    <mergeCell ref="A20:H20"/>
    <mergeCell ref="A1:H1"/>
    <mergeCell ref="A21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8" customWidth="1" style="51" min="1" max="1"/>
    <col width="80" customWidth="1" style="51" min="2" max="2"/>
  </cols>
  <sheetData>
    <row r="1">
      <c r="A1" s="265" t="inlineStr">
        <is>
          <t>PUP MANET Emergency Messaging Workbook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238" t="inlineStr">
        <is>
          <t>Primary development workflow</t>
        </is>
      </c>
      <c r="B3" s="258" t="inlineStr">
        <is>
          <t>Codex Web + GitHub pull requests. VS Code is optional and no longer required for the main workflow.</t>
        </is>
      </c>
      <c r="C3" s="258" t="n"/>
      <c r="D3" s="258" t="n"/>
      <c r="E3" s="258" t="n"/>
      <c r="F3" s="258" t="n"/>
      <c r="G3" s="258" t="n"/>
      <c r="H3" s="258" t="n"/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38" t="inlineStr">
        <is>
          <t>Local development workflow</t>
        </is>
      </c>
      <c r="B4" s="258" t="inlineStr">
        <is>
          <t>Codex CLI on MacBook Pro M1 Max for local review, repo edits, build checks, and troubleshooting.</t>
        </is>
      </c>
      <c r="C4" s="258" t="n"/>
      <c r="D4" s="258" t="n"/>
      <c r="E4" s="258" t="n"/>
      <c r="F4" s="258" t="n"/>
      <c r="G4" s="258" t="n"/>
      <c r="H4" s="258" t="n"/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38" t="inlineStr">
        <is>
          <t>Repository source of truth</t>
        </is>
      </c>
      <c r="B5" s="258" t="inlineStr">
        <is>
          <t>GitHub repository: pup-manet-emergency-messaging</t>
        </is>
      </c>
      <c r="C5" s="258" t="n"/>
      <c r="D5" s="258" t="n"/>
      <c r="E5" s="258" t="n"/>
      <c r="F5" s="258" t="n"/>
      <c r="G5" s="258" t="n"/>
      <c r="H5" s="258" t="n"/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38" t="inlineStr">
        <is>
          <t>Workbook source of truth</t>
        </is>
      </c>
      <c r="B6" s="258" t="inlineStr">
        <is>
          <t>This workbook remains the project tracker. It must be updated after each completed Codex task and hardware validation step.</t>
        </is>
      </c>
      <c r="C6" s="258" t="n"/>
      <c r="D6" s="258" t="n"/>
      <c r="E6" s="258" t="n"/>
      <c r="F6" s="258" t="n"/>
      <c r="G6" s="258" t="n"/>
      <c r="H6" s="258" t="n"/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38" t="inlineStr">
        <is>
          <t>Development order</t>
        </is>
      </c>
      <c r="B7" s="258" t="inlineStr">
        <is>
          <t>ESP32 PlatformIO simulation -&gt; ESP32 LoRa/Bluetooth -&gt; Raspberry Pi gateway simulation -&gt; Raspberry Pi LoRa/WiFi router link -&gt; Android messaging app -&gt; integrated testing.</t>
        </is>
      </c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38" t="inlineStr">
        <is>
          <t>Test priority</t>
        </is>
      </c>
      <c r="B8" s="258" t="inlineStr">
        <is>
          <t>All implementation must satisfy DOCX test procedures first: baseline, degradation detection, failover, sustained operation, and recovery.</t>
        </is>
      </c>
      <c r="C8" s="258" t="n"/>
      <c r="D8" s="258" t="n"/>
      <c r="E8" s="258" t="n"/>
      <c r="F8" s="258" t="n"/>
      <c r="G8" s="258" t="n"/>
      <c r="H8" s="258" t="n"/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38" t="inlineStr">
        <is>
          <t>Hardware testing note</t>
        </is>
      </c>
      <c r="B9" s="258" t="inlineStr">
        <is>
          <t>Codex can create and test code logic, but physical LoRa, Bluetooth, WiFi router, and GSM validation must be performed by the user and recorded in this workbook.</t>
        </is>
      </c>
      <c r="C9" s="258" t="n"/>
      <c r="D9" s="258" t="n"/>
      <c r="E9" s="258" t="n"/>
      <c r="F9" s="258" t="n"/>
      <c r="G9" s="258" t="n"/>
      <c r="H9" s="258" t="n"/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38" t="inlineStr">
        <is>
          <t>Update date</t>
        </is>
      </c>
      <c r="B10" s="266" t="n">
        <v>46147</v>
      </c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38" t="inlineStr">
        <is>
          <t>Current workflow decision</t>
        </is>
      </c>
      <c r="B11" s="258" t="inlineStr">
        <is>
          <t>Proceed with Codex-only workflow: Codex Web as primary, Codex CLI as secondary/local, GitHub as code storage, workbook as status control.</t>
        </is>
      </c>
      <c r="C11" s="258" t="n"/>
      <c r="D11" s="258" t="n"/>
      <c r="E11" s="258" t="n"/>
      <c r="F11" s="258" t="n"/>
      <c r="G11" s="258" t="n"/>
      <c r="H11" s="258" t="n"/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42" customWidth="1" style="51" min="2" max="2"/>
    <col width="45" customWidth="1" style="51" min="3" max="3"/>
    <col width="18" customWidth="1" style="51" min="4" max="4"/>
    <col width="15" customWidth="1" style="51" min="5" max="5"/>
    <col width="18" customWidth="1" style="51" min="6" max="6"/>
    <col width="16" customWidth="1" style="51" min="7" max="7"/>
    <col width="24" customWidth="1" style="51" min="8" max="8"/>
  </cols>
  <sheetData>
    <row r="1">
      <c r="A1" s="267" t="inlineStr">
        <is>
          <t>PUP MANET Test-Aligned Architecture Summary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Item</t>
        </is>
      </c>
      <c r="B3" s="169" t="inlineStr">
        <is>
          <t>Updated Test-Aligned Decision</t>
        </is>
      </c>
      <c r="C3" s="169" t="inlineStr">
        <is>
          <t>Reason / Acceptance Link</t>
        </is>
      </c>
      <c r="D3" s="169" t="inlineStr">
        <is>
          <t>Status</t>
        </is>
      </c>
      <c r="E3" s="169" t="inlineStr">
        <is>
          <t>Owner</t>
        </is>
      </c>
      <c r="F3" s="169" t="inlineStr">
        <is>
          <t>Evidence</t>
        </is>
      </c>
      <c r="G3" s="169" t="inlineStr">
        <is>
          <t>Date Completed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Primary validated path</t>
        </is>
      </c>
      <c r="B4" t="inlineStr">
        <is>
          <t>Android App → Bluetooth → ESP32 LoRa Node → LoRa MANET → Raspberry Pi Gateway → WiFi-router simulated satellite → Remote Gateway → LoRa MANET → Bluetooth → Android App</t>
        </is>
      </c>
      <c r="C4" t="inlineStr">
        <is>
          <t>Directly exercises baseline, failover, store-forward, recovery, and end-to-end delivery tests.</t>
        </is>
      </c>
      <c r="D4" t="inlineStr">
        <is>
          <t>Approved for Phase 1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Node pairing</t>
        </is>
      </c>
      <c r="B5" t="inlineStr">
        <is>
          <t>Each MANET node is paired to one Android phone over Bluetooth.</t>
        </is>
      </c>
      <c r="C5" t="inlineStr">
        <is>
          <t>Ensures Android messaging app can still inject messages to LoRa when WiFi/GSM are unavailable.</t>
        </is>
      </c>
      <c r="D5" t="inlineStr">
        <is>
          <t>Approved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network selection</t>
        </is>
      </c>
      <c r="B6" t="inlineStr">
        <is>
          <t>Android app shall support Auto, LoRa, WiFi, and GSM selection.</t>
        </is>
      </c>
      <c r="C6" t="inlineStr">
        <is>
          <t>Extra feature allowed but must not interfere with DOCX validation path.</t>
        </is>
      </c>
      <c r="D6" t="inlineStr">
        <is>
          <t>Approved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Auto mode behavior</t>
        </is>
      </c>
      <c r="B7" t="inlineStr">
        <is>
          <t>Auto mode checks WiFi, GSM, and Bluetooth/LoRa availability, then selects best available route.</t>
        </is>
      </c>
      <c r="C7" t="inlineStr">
        <is>
          <t>Allows failover decisions while preserving manual test control.</t>
        </is>
      </c>
      <c r="D7" t="inlineStr">
        <is>
          <t>Approved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Failover trigger</t>
        </is>
      </c>
      <c r="B8" t="inlineStr">
        <is>
          <t>RSSI below -78 dBm for 10 seconds OR route/ACK timeout triggers failover to simulated satellite path.</t>
        </is>
      </c>
      <c r="C8" t="inlineStr">
        <is>
          <t>Matches network degradation and failover activation procedures.</t>
        </is>
      </c>
      <c r="D8" t="inlineStr">
        <is>
          <t>Approved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Recovery trigger</t>
        </is>
      </c>
      <c r="B9" t="inlineStr">
        <is>
          <t>Primary MANET route stable for 10 seconds triggers return to MANET; target switchback ≤5 seconds.</t>
        </is>
      </c>
      <c r="C9" t="inlineStr">
        <is>
          <t>Matches recovery/reversion test procedure.</t>
        </is>
      </c>
      <c r="D9" t="inlineStr">
        <is>
          <t>Approved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1" t="inlineStr">
        <is>
          <t>Message not found locally</t>
        </is>
      </c>
      <c r="B10" s="1" t="n"/>
      <c r="C10" s="1" t="n"/>
      <c r="D10" s="1" t="n"/>
      <c r="E10" s="1" t="n"/>
      <c r="F10" s="1" t="n"/>
      <c r="G10" s="1" t="n"/>
      <c r="H10" s="1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t="inlineStr">
        <is>
          <t>Simulation first</t>
        </is>
      </c>
      <c r="B11" s="1" t="inlineStr">
        <is>
          <t>All code shall include simulation mode before physical LoRa validation.</t>
        </is>
      </c>
      <c r="C11" s="1" t="n"/>
      <c r="D11" s="1" t="n"/>
      <c r="E11" s="1" t="n"/>
      <c r="F11" s="1" t="n"/>
      <c r="G11" s="1" t="n"/>
      <c r="H11" s="1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B12" s="1" t="n"/>
      <c r="C12" s="1" t="n"/>
      <c r="D12" s="1" t="n"/>
      <c r="E12" s="1" t="n"/>
      <c r="F12" s="1" t="n"/>
      <c r="G12" s="1" t="n"/>
      <c r="H12" s="1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132" t="inlineStr">
        <is>
          <t>Development Order</t>
        </is>
      </c>
      <c r="B13" s="122" t="inlineStr">
        <is>
          <t>Simulation → ESP32 PlatformIO code → Raspberry Pi gateway code → Android chat app.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5">
    <mergeCell ref="A1:H1"/>
    <mergeCell ref="B13:H13"/>
    <mergeCell ref="B12:H12"/>
    <mergeCell ref="A10:H10"/>
    <mergeCell ref="B11:H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28" customWidth="1" style="51" min="2" max="2"/>
    <col width="18" customWidth="1" style="51" min="3" max="3"/>
    <col width="24" customWidth="1" style="51" min="4" max="4"/>
    <col width="18" customWidth="1" style="51" min="5" max="5"/>
    <col width="26" customWidth="1" style="51" min="6" max="6"/>
    <col width="34" customWidth="1" style="51" min="7" max="7"/>
    <col width="34" customWidth="1" style="51" min="8" max="8"/>
    <col width="14" customWidth="1" style="51" min="9" max="9"/>
  </cols>
  <sheetData>
    <row r="1">
      <c r="A1" s="268" t="inlineStr">
        <is>
          <t>STAGED IMPLEMENTATION PLAN — CODEX + GITHUB WORKFLOW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91" t="inlineStr">
        <is>
          <t>Phase</t>
        </is>
      </c>
      <c r="B3" s="191" t="inlineStr">
        <is>
          <t>Name</t>
        </is>
      </c>
      <c r="C3" s="191" t="inlineStr">
        <is>
          <t>Goal</t>
        </is>
      </c>
      <c r="D3" s="191" t="inlineStr">
        <is>
          <t>Primary Output</t>
        </is>
      </c>
      <c r="E3" s="191" t="inlineStr">
        <is>
          <t>Entry Criteria</t>
        </is>
      </c>
      <c r="F3" s="191" t="inlineStr">
        <is>
          <t>Exit Criteria</t>
        </is>
      </c>
      <c r="G3" s="191" t="inlineStr">
        <is>
          <t>Main Tools</t>
        </is>
      </c>
      <c r="H3" s="191" t="inlineStr">
        <is>
          <t>Status</t>
        </is>
      </c>
      <c r="I3" s="191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0</t>
        </is>
      </c>
      <c r="B4" s="258" t="inlineStr">
        <is>
          <t>Project Baseline</t>
        </is>
      </c>
      <c r="C4" s="258" t="inlineStr">
        <is>
          <t>Finalize architecture and workbook</t>
        </is>
      </c>
      <c r="D4" s="258" t="inlineStr">
        <is>
          <t>Approved workbook and topology</t>
        </is>
      </c>
      <c r="E4" s="258" t="inlineStr">
        <is>
          <t>User confirms direction</t>
        </is>
      </c>
      <c r="F4" s="258" t="inlineStr">
        <is>
          <t>Workbook ready and first active step chosen</t>
        </is>
      </c>
      <c r="G4" s="258" t="inlineStr">
        <is>
          <t>Excel/ChatGPT</t>
        </is>
      </c>
      <c r="H4" s="258" t="inlineStr">
        <is>
          <t>In Progress</t>
        </is>
      </c>
      <c r="I4" s="258" t="inlineStr">
        <is>
          <t>This workbook is the continuity reference.</t>
        </is>
      </c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0.5</t>
        </is>
      </c>
      <c r="B5" s="258" t="inlineStr">
        <is>
          <t>GitHub + Codex Setup</t>
        </is>
      </c>
      <c r="C5" s="258" t="inlineStr">
        <is>
          <t>Move development workflow into GitHub with Codex task control</t>
        </is>
      </c>
      <c r="D5" s="258" t="inlineStr">
        <is>
          <t>Repository, AGENTS.md, README, workbook in docs/</t>
        </is>
      </c>
      <c r="E5" s="258" t="inlineStr">
        <is>
          <t>Workbook baseline available</t>
        </is>
      </c>
      <c r="F5" s="258" t="inlineStr">
        <is>
          <t>Repo can be opened by VS Code/Codex and pushed to GitHub</t>
        </is>
      </c>
      <c r="G5" s="258" t="inlineStr">
        <is>
          <t>GitHub, VS Code, Codex CLI/Cloud</t>
        </is>
      </c>
      <c r="H5" s="258" t="inlineStr">
        <is>
          <t>Not Started</t>
        </is>
      </c>
      <c r="I5" s="258" t="inlineStr">
        <is>
          <t>Added because user will develop using Codex on MacBook Pro M1 Max.</t>
        </is>
      </c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1</t>
        </is>
      </c>
      <c r="B6" s="258" t="inlineStr">
        <is>
          <t>Simulation Core</t>
        </is>
      </c>
      <c r="C6" s="258" t="inlineStr">
        <is>
          <t>Simulate 6 nodes and 2 gateways before hardware</t>
        </is>
      </c>
      <c r="D6" s="258" t="inlineStr">
        <is>
          <t>Python simulator with routing/failover logs</t>
        </is>
      </c>
      <c r="E6" s="258" t="inlineStr">
        <is>
          <t>GitHub/Codex setup done</t>
        </is>
      </c>
      <c r="F6" s="258" t="inlineStr">
        <is>
          <t>Message routing between Network A and B simulated</t>
        </is>
      </c>
      <c r="G6" s="258" t="inlineStr">
        <is>
          <t>VS Code, Codex, Python</t>
        </is>
      </c>
      <c r="H6" s="258" t="inlineStr">
        <is>
          <t>Not Started</t>
        </is>
      </c>
      <c r="I6" s="258" t="inlineStr">
        <is>
          <t>No hardware needed yet.</t>
        </is>
      </c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2</t>
        </is>
      </c>
      <c r="B7" s="258" t="inlineStr">
        <is>
          <t>ESP32 Simulation Firmware</t>
        </is>
      </c>
      <c r="C7" s="258" t="inlineStr">
        <is>
          <t>Start PlatformIO ESP32 code in simulation mode</t>
        </is>
      </c>
      <c r="D7" s="258" t="inlineStr">
        <is>
          <t>Buildable PlatformIO project</t>
        </is>
      </c>
      <c r="E7" s="258" t="inlineStr">
        <is>
          <t>Repo ready and packet format draft ready</t>
        </is>
      </c>
      <c r="F7" s="258" t="inlineStr">
        <is>
          <t>Node simulation builds and logs message state</t>
        </is>
      </c>
      <c r="G7" s="258" t="inlineStr">
        <is>
          <t>VS Code, PlatformIO, Codex</t>
        </is>
      </c>
      <c r="H7" s="258" t="inlineStr">
        <is>
          <t>Not Started</t>
        </is>
      </c>
      <c r="I7" s="258" t="inlineStr">
        <is>
          <t>Codex task C1.</t>
        </is>
      </c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3</t>
        </is>
      </c>
      <c r="B8" s="258" t="inlineStr">
        <is>
          <t>ESP32 LoRa Firmware</t>
        </is>
      </c>
      <c r="C8" s="258" t="inlineStr">
        <is>
          <t>Add SX1278 Ra-02 LoRa messaging</t>
        </is>
      </c>
      <c r="D8" s="258" t="inlineStr">
        <is>
          <t>Firmware for LoRa send/receive and ACK</t>
        </is>
      </c>
      <c r="E8" s="258" t="inlineStr">
        <is>
          <t>ESP32 simulation stable</t>
        </is>
      </c>
      <c r="F8" s="258" t="inlineStr">
        <is>
          <t>Physical node-to-node message send/ACK works</t>
        </is>
      </c>
      <c r="G8" s="258" t="inlineStr">
        <is>
          <t>ESP32, PlatformIO, Codex</t>
        </is>
      </c>
      <c r="H8" s="258" t="inlineStr">
        <is>
          <t>Not Started</t>
        </is>
      </c>
      <c r="I8" s="258" t="inlineStr">
        <is>
          <t>Start with 2 nodes, then 6.</t>
        </is>
      </c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4</t>
        </is>
      </c>
      <c r="B9" s="258" t="inlineStr">
        <is>
          <t>Raspberry Pi Gateway</t>
        </is>
      </c>
      <c r="C9" s="258" t="inlineStr">
        <is>
          <t>Build gateway service and dashboard</t>
        </is>
      </c>
      <c r="D9" s="258" t="inlineStr">
        <is>
          <t>Python service + Flask dashboard</t>
        </is>
      </c>
      <c r="E9" s="258" t="inlineStr">
        <is>
          <t>Protocol stable</t>
        </is>
      </c>
      <c r="F9" s="258" t="inlineStr">
        <is>
          <t>Gateway sends/receives LoRa and routes to WiFi path</t>
        </is>
      </c>
      <c r="G9" s="258" t="inlineStr">
        <is>
          <t>Raspberry Pi 3B, Python, Codex</t>
        </is>
      </c>
      <c r="H9" s="258" t="inlineStr">
        <is>
          <t>Not Started</t>
        </is>
      </c>
      <c r="I9" s="258" t="inlineStr">
        <is>
          <t>Direct LoRa module on Pi.</t>
        </is>
      </c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5</t>
        </is>
      </c>
      <c r="B10" s="258" t="inlineStr">
        <is>
          <t>Router/Satellite Simulation</t>
        </is>
      </c>
      <c r="C10" s="258" t="inlineStr">
        <is>
          <t>Connect gateways over WiFi routers</t>
        </is>
      </c>
      <c r="D10" s="258" t="inlineStr">
        <is>
          <t>Inter-network messaging with latency simulation</t>
        </is>
      </c>
      <c r="E10" s="258" t="inlineStr">
        <is>
          <t>Gateway API stable</t>
        </is>
      </c>
      <c r="F10" s="258" t="inlineStr">
        <is>
          <t>Network A can deliver to Network B through WiFi path</t>
        </is>
      </c>
      <c r="G10" s="258" t="inlineStr">
        <is>
          <t>Routers, Linux tc/netem</t>
        </is>
      </c>
      <c r="H10" s="258" t="inlineStr">
        <is>
          <t>Not Started</t>
        </is>
      </c>
      <c r="I10" s="258" t="inlineStr">
        <is>
          <t>Use 500-700 ms delay.</t>
        </is>
      </c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6</t>
        </is>
      </c>
      <c r="B11" s="258" t="inlineStr">
        <is>
          <t>Failover/Recovery Test Logic</t>
        </is>
      </c>
      <c r="C11" s="258" t="inlineStr">
        <is>
          <t>Implement and validate DOCX acceptance logic</t>
        </is>
      </c>
      <c r="D11" s="258" t="inlineStr">
        <is>
          <t>State machine and test reports</t>
        </is>
      </c>
      <c r="E11" s="258" t="inlineStr">
        <is>
          <t>Simulation and gateway stable</t>
        </is>
      </c>
      <c r="F11" s="258" t="inlineStr">
        <is>
          <t>Pass baseline, degradation, failover, recovery tests</t>
        </is>
      </c>
      <c r="G11" s="258" t="inlineStr">
        <is>
          <t>Codex, Python, PlatformIO</t>
        </is>
      </c>
      <c r="H11" s="258" t="inlineStr">
        <is>
          <t>Not Started</t>
        </is>
      </c>
      <c r="I11" s="258" t="inlineStr">
        <is>
          <t>RSSI &lt; -78 dBm for 10s and stable 10s recovery.</t>
        </is>
      </c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7</t>
        </is>
      </c>
      <c r="B12" s="258" t="inlineStr">
        <is>
          <t>Android Chat App</t>
        </is>
      </c>
      <c r="C12" s="258" t="inlineStr">
        <is>
          <t>Create Android messaging app</t>
        </is>
      </c>
      <c r="D12" s="258" t="inlineStr">
        <is>
          <t>Android Studio project</t>
        </is>
      </c>
      <c r="E12" s="258" t="inlineStr">
        <is>
          <t>Gateway/ESP32 protocol stable</t>
        </is>
      </c>
      <c r="F12" s="258" t="inlineStr">
        <is>
          <t>App sends/receives via selected transport</t>
        </is>
      </c>
      <c r="G12" s="258" t="inlineStr">
        <is>
          <t>Android Studio, Kotlin, Codex</t>
        </is>
      </c>
      <c r="H12" s="258" t="inlineStr">
        <is>
          <t>Not Started</t>
        </is>
      </c>
      <c r="I12" s="258" t="inlineStr">
        <is>
          <t>Manual Auto/LoRa/WiFi/GSM mode selection.</t>
        </is>
      </c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8</t>
        </is>
      </c>
      <c r="B13" s="258" t="inlineStr">
        <is>
          <t>Integrated Test Campaign</t>
        </is>
      </c>
      <c r="C13" s="258" t="inlineStr">
        <is>
          <t>Validate acceptance criteria</t>
        </is>
      </c>
      <c r="D13" s="258" t="inlineStr">
        <is>
          <t>Signed test results and logs</t>
        </is>
      </c>
      <c r="E13" s="258" t="inlineStr">
        <is>
          <t>All components working</t>
        </is>
      </c>
      <c r="F13" s="258" t="inlineStr">
        <is>
          <t>PDR, failover, recovery, uptime targets measured</t>
        </is>
      </c>
      <c r="G13" s="258" t="inlineStr">
        <is>
          <t>Workbook + logs</t>
        </is>
      </c>
      <c r="H13" s="258" t="inlineStr">
        <is>
          <t>Not Started</t>
        </is>
      </c>
      <c r="I13" s="258" t="inlineStr">
        <is>
          <t>Update workbook after every passed step.</t>
        </is>
      </c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33" t="inlineStr">
        <is>
          <t>Codex-Only Development Overlay</t>
        </is>
      </c>
      <c r="B16" s="233" t="str"/>
      <c r="C16" s="233" t="str"/>
      <c r="D16" s="233" t="str"/>
      <c r="E16" s="233" t="str"/>
      <c r="F16" s="233" t="str"/>
      <c r="G16" s="233" t="str"/>
      <c r="H16" s="233" t="str"/>
      <c r="I16" s="233" t="str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41" t="inlineStr">
        <is>
          <t>Order</t>
        </is>
      </c>
      <c r="B18" s="241" t="inlineStr">
        <is>
          <t>Phase</t>
        </is>
      </c>
      <c r="C18" s="241" t="inlineStr">
        <is>
          <t>Primary tool</t>
        </is>
      </c>
      <c r="D18" s="241" t="inlineStr">
        <is>
          <t>Secondary tool</t>
        </is>
      </c>
      <c r="E18" s="241" t="inlineStr">
        <is>
          <t>Requires hardware</t>
        </is>
      </c>
      <c r="F18" s="241" t="inlineStr">
        <is>
          <t>Repo area</t>
        </is>
      </c>
      <c r="G18" s="241" t="inlineStr">
        <is>
          <t>Completion evidence</t>
        </is>
      </c>
      <c r="H18" s="241" t="inlineStr">
        <is>
          <t>Workbook sheet to update</t>
        </is>
      </c>
      <c r="I18" s="241" t="inlineStr">
        <is>
          <t>Status</t>
        </is>
      </c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>
        <v>1</v>
      </c>
      <c r="B19" s="258" t="inlineStr">
        <is>
          <t>GitHub baseline</t>
        </is>
      </c>
      <c r="C19" s="258" t="inlineStr">
        <is>
          <t>Codex Web</t>
        </is>
      </c>
      <c r="D19" s="258" t="inlineStr">
        <is>
          <t>Codex CLI</t>
        </is>
      </c>
      <c r="E19" s="258" t="b">
        <v>0</v>
      </c>
      <c r="F19" s="258" t="inlineStr">
        <is>
          <t>repo root + docs</t>
        </is>
      </c>
      <c r="G19" s="258" t="inlineStr">
        <is>
          <t>Repo created and initial commit pushed</t>
        </is>
      </c>
      <c r="H19" s="258" t="inlineStr">
        <is>
          <t>Codex GitHub Workflow / Repo Structure</t>
        </is>
      </c>
      <c r="I19" s="258" t="inlineStr">
        <is>
          <t>Next</t>
        </is>
      </c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>
        <v>2</v>
      </c>
      <c r="B20" s="258" t="inlineStr">
        <is>
          <t>ESP32 simulation</t>
        </is>
      </c>
      <c r="C20" s="258" t="inlineStr">
        <is>
          <t>Codex Web</t>
        </is>
      </c>
      <c r="D20" s="258" t="inlineStr">
        <is>
          <t>Codex CLI</t>
        </is>
      </c>
      <c r="E20" s="258" t="b">
        <v>0</v>
      </c>
      <c r="F20" s="258" t="inlineStr">
        <is>
          <t>esp32-node-platformio</t>
        </is>
      </c>
      <c r="G20" s="258" t="inlineStr">
        <is>
          <t>PlatformIO build log</t>
        </is>
      </c>
      <c r="H20" s="258" t="inlineStr">
        <is>
          <t>Detailed Steps / Progress Tracker</t>
        </is>
      </c>
      <c r="I20" s="258" t="inlineStr">
        <is>
          <t>Planned</t>
        </is>
      </c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>
        <v>3</v>
      </c>
      <c r="B21" s="258" t="inlineStr">
        <is>
          <t>RPi gateway simulation</t>
        </is>
      </c>
      <c r="C21" s="258" t="inlineStr">
        <is>
          <t>Codex Web</t>
        </is>
      </c>
      <c r="D21" s="258" t="inlineStr">
        <is>
          <t>Codex CLI</t>
        </is>
      </c>
      <c r="E21" s="258" t="b">
        <v>0</v>
      </c>
      <c r="F21" s="258" t="inlineStr">
        <is>
          <t>rpi-gateway</t>
        </is>
      </c>
      <c r="G21" s="258" t="inlineStr">
        <is>
          <t>pytest/simulation log</t>
        </is>
      </c>
      <c r="H21" s="258" t="inlineStr">
        <is>
          <t>Simulation Plan / Progress Tracker</t>
        </is>
      </c>
      <c r="I21" s="258" t="inlineStr">
        <is>
          <t>Planned</t>
        </is>
      </c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>
        <v>4</v>
      </c>
      <c r="B22" s="258" t="inlineStr">
        <is>
          <t>ESP32 LoRa + Bluetooth</t>
        </is>
      </c>
      <c r="C22" s="258" t="inlineStr">
        <is>
          <t>Codex Web</t>
        </is>
      </c>
      <c r="D22" s="258" t="inlineStr">
        <is>
          <t>Codex CLI</t>
        </is>
      </c>
      <c r="E22" s="258" t="b">
        <v>1</v>
      </c>
      <c r="F22" s="258" t="inlineStr">
        <is>
          <t>esp32-node-platformio</t>
        </is>
      </c>
      <c r="G22" s="258" t="inlineStr">
        <is>
          <t>Hardware test screenshots/logs</t>
        </is>
      </c>
      <c r="H22" s="258" t="inlineStr">
        <is>
          <t>Config Tracker / Issue Log</t>
        </is>
      </c>
      <c r="I22" s="258" t="inlineStr">
        <is>
          <t>Planned</t>
        </is>
      </c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>
        <v>5</v>
      </c>
      <c r="B23" s="258" t="inlineStr">
        <is>
          <t>Gateway LoRa + WiFi routers</t>
        </is>
      </c>
      <c r="C23" s="258" t="inlineStr">
        <is>
          <t>Codex Web</t>
        </is>
      </c>
      <c r="D23" s="258" t="inlineStr">
        <is>
          <t>Codex CLI</t>
        </is>
      </c>
      <c r="E23" s="258" t="b">
        <v>1</v>
      </c>
      <c r="F23" s="258" t="inlineStr">
        <is>
          <t>rpi-gateway</t>
        </is>
      </c>
      <c r="G23" s="258" t="inlineStr">
        <is>
          <t>Inter-gateway routing test</t>
        </is>
      </c>
      <c r="H23" s="258" t="inlineStr">
        <is>
          <t>Test Campaign / Progress Tracker</t>
        </is>
      </c>
      <c r="I23" s="258" t="inlineStr">
        <is>
          <t>Planned</t>
        </is>
      </c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>
        <v>6</v>
      </c>
      <c r="B24" s="258" t="inlineStr">
        <is>
          <t>Android app</t>
        </is>
      </c>
      <c r="C24" s="258" t="inlineStr">
        <is>
          <t>Codex Web</t>
        </is>
      </c>
      <c r="D24" s="258" t="inlineStr">
        <is>
          <t>Codex CLI + Android Studio</t>
        </is>
      </c>
      <c r="E24" s="258" t="b">
        <v>1</v>
      </c>
      <c r="F24" s="258" t="inlineStr">
        <is>
          <t>android-chat-app</t>
        </is>
      </c>
      <c r="G24" s="258" t="inlineStr">
        <is>
          <t>Build/app screenshots</t>
        </is>
      </c>
      <c r="H24" s="258" t="inlineStr">
        <is>
          <t>Android App Plan / Progress Tracker</t>
        </is>
      </c>
      <c r="I24" s="258" t="inlineStr">
        <is>
          <t>Planned</t>
        </is>
      </c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3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18" customWidth="1" style="51" min="3" max="3"/>
    <col width="42" customWidth="1" style="51" min="4" max="4"/>
    <col width="34" customWidth="1" style="51" min="5" max="5"/>
    <col width="18" customWidth="1" style="51" min="6" max="6"/>
    <col width="18" customWidth="1" style="51" min="7" max="7"/>
    <col width="18" customWidth="1" style="51" min="8" max="8"/>
    <col width="18" customWidth="1" style="51" min="9" max="9"/>
    <col width="28" customWidth="1" style="51" min="10" max="10"/>
    <col width="24" customWidth="1" style="51" min="11" max="11"/>
    <col width="30" customWidth="1" style="51" min="12" max="12"/>
  </cols>
  <sheetData>
    <row r="1" ht="16.79999923706055" customHeight="1" s="51">
      <c r="A1" s="268" t="inlineStr">
        <is>
          <t>DETAILED STEP TRACKER - UPDATE AFTER EVERY COMPLETED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 ht="15" customHeight="1" s="51">
      <c r="A2" s="191" t="inlineStr">
        <is>
          <t>Step ID</t>
        </is>
      </c>
      <c r="B2" s="191" t="inlineStr">
        <is>
          <t>Phase</t>
        </is>
      </c>
      <c r="C2" s="191" t="inlineStr">
        <is>
          <t>Stage</t>
        </is>
      </c>
      <c r="D2" s="191" t="inlineStr">
        <is>
          <t>Action / Procedure</t>
        </is>
      </c>
      <c r="E2" s="191" t="inlineStr">
        <is>
          <t>Validation / Expected Result</t>
        </is>
      </c>
      <c r="F2" s="191" t="inlineStr">
        <is>
          <t>Status</t>
        </is>
      </c>
      <c r="G2" s="191" t="inlineStr">
        <is>
          <t>Owner</t>
        </is>
      </c>
      <c r="H2" s="191" t="inlineStr">
        <is>
          <t>Date Started</t>
        </is>
      </c>
      <c r="I2" s="191" t="inlineStr">
        <is>
          <t>Date Completed</t>
        </is>
      </c>
      <c r="J2" s="191" t="inlineStr">
        <is>
          <t>Actual Result</t>
        </is>
      </c>
      <c r="K2" s="191" t="inlineStr">
        <is>
          <t>Evidence / File / Screenshot</t>
        </is>
      </c>
      <c r="L2" s="191" t="inlineStr">
        <is>
          <t>Notes</t>
        </is>
      </c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 ht="15" customHeight="1" s="51">
      <c r="A3" s="258" t="inlineStr">
        <is>
          <t>0.1</t>
        </is>
      </c>
      <c r="B3" s="258" t="inlineStr">
        <is>
          <t>0 Baseline</t>
        </is>
      </c>
      <c r="C3" s="258" t="inlineStr">
        <is>
          <t>Workbook</t>
        </is>
      </c>
      <c r="D3" s="258" t="inlineStr">
        <is>
          <t>Review workbook sheets and confirm architecture</t>
        </is>
      </c>
      <c r="E3" s="258" t="inlineStr">
        <is>
          <t>Architecture accepted or edits listed</t>
        </is>
      </c>
      <c r="F3" s="258" t="inlineStr">
        <is>
          <t>In Progress</t>
        </is>
      </c>
      <c r="G3" s="258" t="inlineStr">
        <is>
          <t>User + ChatGPT</t>
        </is>
      </c>
      <c r="H3" s="258" t="str"/>
      <c r="I3" s="258" t="str"/>
      <c r="J3" s="258" t="str"/>
      <c r="K3" s="258" t="str"/>
      <c r="L3" s="258" t="str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 ht="52.79999923706055" customHeight="1" s="51">
      <c r="A4" s="258" t="inlineStr">
        <is>
          <t>0.2</t>
        </is>
      </c>
      <c r="B4" s="258" t="inlineStr">
        <is>
          <t>0 Baseline</t>
        </is>
      </c>
      <c r="C4" s="258" t="inlineStr">
        <is>
          <t>Topology</t>
        </is>
      </c>
      <c r="D4" s="258" t="inlineStr">
        <is>
          <t>Confirm 6-node topology: Network A has 3 nodes, Network B has 3 nodes, each paired by Bluetooth to Android phone, with one gateway and one WiFi router per network</t>
        </is>
      </c>
      <c r="E4" s="258" t="inlineStr">
        <is>
          <t>Topology confirmed</t>
        </is>
      </c>
      <c r="F4" s="258" t="inlineStr">
        <is>
          <t>Not Started</t>
        </is>
      </c>
      <c r="G4" s="258" t="inlineStr">
        <is>
          <t>User + ChatGPT</t>
        </is>
      </c>
      <c r="H4" s="258" t="str"/>
      <c r="I4" s="258" t="str"/>
      <c r="J4" s="258" t="str"/>
      <c r="K4" s="258" t="str"/>
      <c r="L4" s="258" t="str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 ht="26.39999961853027" customHeight="1" s="51">
      <c r="A5" s="258" t="inlineStr">
        <is>
          <t>0.3</t>
        </is>
      </c>
      <c r="B5" s="258" t="inlineStr">
        <is>
          <t>0 Baseline</t>
        </is>
      </c>
      <c r="C5" s="258" t="inlineStr">
        <is>
          <t>Frequency</t>
        </is>
      </c>
      <c r="D5" s="258" t="inlineStr">
        <is>
          <t>Confirm prototype frequency and power setting for SX1278 Ra-02 433 MHz</t>
        </is>
      </c>
      <c r="E5" s="258" t="inlineStr">
        <is>
          <t>Selected LoRa settings documented</t>
        </is>
      </c>
      <c r="F5" s="258" t="inlineStr">
        <is>
          <t>Not Started</t>
        </is>
      </c>
      <c r="G5" s="258" t="inlineStr">
        <is>
          <t>User</t>
        </is>
      </c>
      <c r="H5" s="258" t="str"/>
      <c r="I5" s="258" t="str"/>
      <c r="J5" s="258" t="str"/>
      <c r="K5" s="258" t="str"/>
      <c r="L5" s="258" t="str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 ht="26.39999961853027" customHeight="1" s="51">
      <c r="A6" s="258" t="inlineStr">
        <is>
          <t>0.4</t>
        </is>
      </c>
      <c r="B6" s="258" t="inlineStr">
        <is>
          <t>0.5 GitHub/Codex</t>
        </is>
      </c>
      <c r="C6" s="258" t="inlineStr">
        <is>
          <t>Repository</t>
        </is>
      </c>
      <c r="D6" s="258" t="inlineStr">
        <is>
          <t>Create GitHub repository pup-manet-emergency-messaging</t>
        </is>
      </c>
      <c r="E6" s="258" t="inlineStr">
        <is>
          <t>Repo exists and is accessible</t>
        </is>
      </c>
      <c r="F6" s="258" t="inlineStr">
        <is>
          <t>Not Started</t>
        </is>
      </c>
      <c r="G6" s="258" t="inlineStr">
        <is>
          <t>User</t>
        </is>
      </c>
      <c r="H6" s="258" t="str"/>
      <c r="I6" s="258" t="str"/>
      <c r="J6" s="258" t="str"/>
      <c r="K6" s="258" t="inlineStr">
        <is>
          <t>Repo URL</t>
        </is>
      </c>
      <c r="L6" s="258" t="str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 ht="26.39999961853027" customHeight="1" s="51">
      <c r="A7" s="258" t="inlineStr">
        <is>
          <t>0.5</t>
        </is>
      </c>
      <c r="B7" s="258" t="inlineStr">
        <is>
          <t>0.5 GitHub/Codex</t>
        </is>
      </c>
      <c r="C7" s="258" t="inlineStr">
        <is>
          <t>Local Clone</t>
        </is>
      </c>
      <c r="D7" s="258" t="inlineStr">
        <is>
          <t>Clone repo on MacBook Pro M1 Max and open in VS Code</t>
        </is>
      </c>
      <c r="E7" s="258" t="inlineStr">
        <is>
          <t>Repo opens locally; git status clean</t>
        </is>
      </c>
      <c r="F7" s="258" t="inlineStr">
        <is>
          <t>Not Started</t>
        </is>
      </c>
      <c r="G7" s="258" t="inlineStr">
        <is>
          <t>User</t>
        </is>
      </c>
      <c r="H7" s="258" t="str"/>
      <c r="I7" s="258" t="str"/>
      <c r="J7" s="258" t="str"/>
      <c r="K7" s="258" t="inlineStr">
        <is>
          <t>Terminal output</t>
        </is>
      </c>
      <c r="L7" s="258" t="str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 ht="52.79999923706055" customHeight="1" s="51">
      <c r="A8" s="258" t="inlineStr">
        <is>
          <t>0.6</t>
        </is>
      </c>
      <c r="B8" s="258" t="inlineStr">
        <is>
          <t>0.5 GitHub/Codex</t>
        </is>
      </c>
      <c r="C8" s="258" t="inlineStr">
        <is>
          <t>Repo Structure</t>
        </is>
      </c>
      <c r="D8" s="258" t="inlineStr">
        <is>
          <t>Create required folders: esp32-node-platformio, rpi-gateway, android-chat-app, docs/workbook, docs/diagrams, docs/test-procedures, docs/codex-prompts</t>
        </is>
      </c>
      <c r="E8" s="258" t="inlineStr">
        <is>
          <t>Folders exist</t>
        </is>
      </c>
      <c r="F8" s="258" t="inlineStr">
        <is>
          <t>Not Started</t>
        </is>
      </c>
      <c r="G8" s="258" t="inlineStr">
        <is>
          <t>User + Codex</t>
        </is>
      </c>
      <c r="H8" s="258" t="str"/>
      <c r="I8" s="258" t="str"/>
      <c r="J8" s="258" t="str"/>
      <c r="K8" s="258" t="inlineStr">
        <is>
          <t>tree output</t>
        </is>
      </c>
      <c r="L8" s="258" t="inlineStr">
        <is>
          <t>Use Codex task C0 or manual setup.</t>
        </is>
      </c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 ht="26.39999961853027" customHeight="1" s="51">
      <c r="A9" s="258" t="inlineStr">
        <is>
          <t>0.7</t>
        </is>
      </c>
      <c r="B9" s="258" t="inlineStr">
        <is>
          <t>0.5 GitHub/Codex</t>
        </is>
      </c>
      <c r="C9" s="258" t="inlineStr">
        <is>
          <t>AGENTS.md</t>
        </is>
      </c>
      <c r="D9" s="258" t="inlineStr">
        <is>
          <t>Add repository AGENTS.md with project rules for Codex</t>
        </is>
      </c>
      <c r="E9" s="258" t="inlineStr">
        <is>
          <t>Codex instructions file exists</t>
        </is>
      </c>
      <c r="F9" s="258" t="inlineStr">
        <is>
          <t>Not Started</t>
        </is>
      </c>
      <c r="G9" s="258" t="inlineStr">
        <is>
          <t>Codex/User</t>
        </is>
      </c>
      <c r="H9" s="258" t="str"/>
      <c r="I9" s="258" t="str"/>
      <c r="J9" s="258" t="str"/>
      <c r="K9" s="258" t="inlineStr">
        <is>
          <t>File path + commit hash</t>
        </is>
      </c>
      <c r="L9" s="258" t="inlineStr">
        <is>
          <t>Must require workbook step reference for all tasks.</t>
        </is>
      </c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 ht="26.39999961853027" customHeight="1" s="51">
      <c r="A10" s="258" t="inlineStr">
        <is>
          <t>0.8</t>
        </is>
      </c>
      <c r="B10" s="258" t="inlineStr">
        <is>
          <t>0.5 GitHub/Codex</t>
        </is>
      </c>
      <c r="C10" s="258" t="inlineStr">
        <is>
          <t>Workbook Commit</t>
        </is>
      </c>
      <c r="D10" s="258" t="inlineStr">
        <is>
          <t>Copy latest workbook and diagrams into docs folder and commit to GitHub</t>
        </is>
      </c>
      <c r="E10" s="258" t="inlineStr">
        <is>
          <t>Workbook and diagrams are versioned</t>
        </is>
      </c>
      <c r="F10" s="258" t="inlineStr">
        <is>
          <t>Not Started</t>
        </is>
      </c>
      <c r="G10" s="258" t="inlineStr">
        <is>
          <t>User</t>
        </is>
      </c>
      <c r="H10" s="258" t="str"/>
      <c r="I10" s="258" t="str"/>
      <c r="J10" s="258" t="str"/>
      <c r="K10" s="258" t="inlineStr">
        <is>
          <t>Commit hash</t>
        </is>
      </c>
      <c r="L10" s="258" t="inlineStr">
        <is>
          <t>This workbook must be updated after every completed step.</t>
        </is>
      </c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 ht="26.39999961853027" customHeight="1" s="51">
      <c r="A11" s="258" t="inlineStr">
        <is>
          <t>0.9</t>
        </is>
      </c>
      <c r="B11" s="258" t="inlineStr">
        <is>
          <t>0.5 GitHub/Codex</t>
        </is>
      </c>
      <c r="C11" s="258" t="inlineStr">
        <is>
          <t>Codex Test Task</t>
        </is>
      </c>
      <c r="D11" s="258" t="inlineStr">
        <is>
          <t>Run small Codex task to update README only</t>
        </is>
      </c>
      <c r="E11" s="258" t="inlineStr">
        <is>
          <t>Codex completes task without touching unrelated files</t>
        </is>
      </c>
      <c r="F11" s="258" t="inlineStr">
        <is>
          <t>Not Started</t>
        </is>
      </c>
      <c r="G11" s="258" t="inlineStr">
        <is>
          <t>User + Codex</t>
        </is>
      </c>
      <c r="H11" s="258" t="str"/>
      <c r="I11" s="258" t="str"/>
      <c r="J11" s="258" t="str"/>
      <c r="K11" s="258" t="inlineStr">
        <is>
          <t>Codex task link or terminal output</t>
        </is>
      </c>
      <c r="L11" s="258" t="inlineStr">
        <is>
          <t>Confirms Codex workflow before code development.</t>
        </is>
      </c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 ht="26.39999961853027" customHeight="1" s="51">
      <c r="A12" s="258" t="inlineStr">
        <is>
          <t>1.1</t>
        </is>
      </c>
      <c r="B12" s="258" t="inlineStr">
        <is>
          <t>1 Simulation</t>
        </is>
      </c>
      <c r="C12" s="258" t="inlineStr">
        <is>
          <t>Packet Model</t>
        </is>
      </c>
      <c r="D12" s="258" t="inlineStr">
        <is>
          <t>Create JSON packet model for message, ACK, HELLO, route advert, gateway advert</t>
        </is>
      </c>
      <c r="E12" s="258" t="inlineStr">
        <is>
          <t>Simulator accepts packet schema</t>
        </is>
      </c>
      <c r="F12" s="258" t="inlineStr">
        <is>
          <t>Not Started</t>
        </is>
      </c>
      <c r="G12" s="258" t="inlineStr">
        <is>
          <t>Codex</t>
        </is>
      </c>
      <c r="H12" s="258" t="str"/>
      <c r="I12" s="258" t="str"/>
      <c r="J12" s="258" t="str"/>
      <c r="K12" s="258" t="inlineStr">
        <is>
          <t>PR/commit + test log</t>
        </is>
      </c>
      <c r="L12" s="258" t="str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 ht="26.39999961853027" customHeight="1" s="51">
      <c r="A13" s="258" t="inlineStr">
        <is>
          <t>1.2</t>
        </is>
      </c>
      <c r="B13" s="258" t="inlineStr">
        <is>
          <t>1 Simulation</t>
        </is>
      </c>
      <c r="C13" s="258" t="inlineStr">
        <is>
          <t>Six Nodes</t>
        </is>
      </c>
      <c r="D13" s="258" t="inlineStr">
        <is>
          <t>Simulate six nodes: A1-A3 and B1-B3 with two gateways GWA/GWB</t>
        </is>
      </c>
      <c r="E13" s="258" t="inlineStr">
        <is>
          <t>All simulated nodes appear in log</t>
        </is>
      </c>
      <c r="F13" s="258" t="inlineStr">
        <is>
          <t>Not Started</t>
        </is>
      </c>
      <c r="G13" s="258" t="inlineStr">
        <is>
          <t>Codex</t>
        </is>
      </c>
      <c r="H13" s="258" t="str"/>
      <c r="I13" s="258" t="str"/>
      <c r="J13" s="258" t="str"/>
      <c r="K13" s="258" t="inlineStr">
        <is>
          <t>Test log</t>
        </is>
      </c>
      <c r="L13" s="258" t="str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 ht="26.39999961853027" customHeight="1" s="51">
      <c r="A14" s="258" t="inlineStr">
        <is>
          <t>1.3</t>
        </is>
      </c>
      <c r="B14" s="258" t="inlineStr">
        <is>
          <t>1 Simulation</t>
        </is>
      </c>
      <c r="C14" s="258" t="inlineStr">
        <is>
          <t>Local Delivery</t>
        </is>
      </c>
      <c r="D14" s="258" t="inlineStr">
        <is>
          <t>Send message from A1 to A2 and A3 through simulated local routing</t>
        </is>
      </c>
      <c r="E14" s="258" t="inlineStr">
        <is>
          <t>Message delivered with ACK</t>
        </is>
      </c>
      <c r="F14" s="258" t="inlineStr">
        <is>
          <t>Not Started</t>
        </is>
      </c>
      <c r="G14" s="258" t="inlineStr">
        <is>
          <t>Codex/User</t>
        </is>
      </c>
      <c r="H14" s="258" t="str"/>
      <c r="I14" s="258" t="str"/>
      <c r="J14" s="258" t="str"/>
      <c r="K14" s="258" t="inlineStr">
        <is>
          <t>Simulation log</t>
        </is>
      </c>
      <c r="L14" s="258" t="str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 ht="26.39999961853027" customHeight="1" s="51">
      <c r="A15" s="258" t="inlineStr">
        <is>
          <t>1.4</t>
        </is>
      </c>
      <c r="B15" s="258" t="inlineStr">
        <is>
          <t>1 Simulation</t>
        </is>
      </c>
      <c r="C15" s="258" t="inlineStr">
        <is>
          <t>Cross Network Delivery</t>
        </is>
      </c>
      <c r="D15" s="258" t="inlineStr">
        <is>
          <t>Send message from A1 to B1 via Gateway A -&gt; WiFi router link -&gt; Gateway B</t>
        </is>
      </c>
      <c r="E15" s="258" t="inlineStr">
        <is>
          <t>Message reaches remote network with ordered delivery</t>
        </is>
      </c>
      <c r="F15" s="258" t="inlineStr">
        <is>
          <t>Not Started</t>
        </is>
      </c>
      <c r="G15" s="258" t="inlineStr">
        <is>
          <t>Codex/User</t>
        </is>
      </c>
      <c r="H15" s="258" t="str"/>
      <c r="I15" s="258" t="str"/>
      <c r="J15" s="258" t="str"/>
      <c r="K15" s="258" t="inlineStr">
        <is>
          <t>Simulation log</t>
        </is>
      </c>
      <c r="L15" s="258" t="str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 ht="15" customHeight="1" s="51">
      <c r="A16" s="258" t="inlineStr">
        <is>
          <t>1.5</t>
        </is>
      </c>
      <c r="B16" s="258" t="inlineStr">
        <is>
          <t>1 Simulation</t>
        </is>
      </c>
      <c r="C16" s="258" t="inlineStr">
        <is>
          <t>Degradation Detection</t>
        </is>
      </c>
      <c r="D16" s="258" t="inlineStr">
        <is>
          <t>Simulate RSSI below -78 dBm for 10 seconds</t>
        </is>
      </c>
      <c r="E16" s="258" t="inlineStr">
        <is>
          <t>System changes to degraded/failover state</t>
        </is>
      </c>
      <c r="F16" s="258" t="inlineStr">
        <is>
          <t>Not Started</t>
        </is>
      </c>
      <c r="G16" s="258" t="inlineStr">
        <is>
          <t>Codex/User</t>
        </is>
      </c>
      <c r="H16" s="258" t="str"/>
      <c r="I16" s="258" t="str"/>
      <c r="J16" s="258" t="str"/>
      <c r="K16" s="258" t="inlineStr">
        <is>
          <t>Timestamped logs</t>
        </is>
      </c>
      <c r="L16" s="258" t="inlineStr">
        <is>
          <t>DOCX test alignment.</t>
        </is>
      </c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 ht="26.39999961853027" customHeight="1" s="51">
      <c r="A17" s="258" t="inlineStr">
        <is>
          <t>1.6</t>
        </is>
      </c>
      <c r="B17" s="258" t="inlineStr">
        <is>
          <t>1 Simulation</t>
        </is>
      </c>
      <c r="C17" s="258" t="inlineStr">
        <is>
          <t>Recovery Detection</t>
        </is>
      </c>
      <c r="D17" s="258" t="inlineStr">
        <is>
          <t>Simulate stable MANET link for 10 seconds and return to MANET within 5 seconds</t>
        </is>
      </c>
      <c r="E17" s="258" t="inlineStr">
        <is>
          <t>Recovery succeeds with no message loss</t>
        </is>
      </c>
      <c r="F17" s="258" t="inlineStr">
        <is>
          <t>Not Started</t>
        </is>
      </c>
      <c r="G17" s="258" t="inlineStr">
        <is>
          <t>Codex/User</t>
        </is>
      </c>
      <c r="H17" s="258" t="str"/>
      <c r="I17" s="258" t="str"/>
      <c r="J17" s="258" t="str"/>
      <c r="K17" s="258" t="inlineStr">
        <is>
          <t>Timestamped logs</t>
        </is>
      </c>
      <c r="L17" s="258" t="inlineStr">
        <is>
          <t>DOCX test alignment.</t>
        </is>
      </c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 ht="15" customHeight="1" s="51">
      <c r="A18" s="258" t="inlineStr">
        <is>
          <t>2.1</t>
        </is>
      </c>
      <c r="B18" s="258" t="inlineStr">
        <is>
          <t>2 ESP32 Sim</t>
        </is>
      </c>
      <c r="C18" s="258" t="inlineStr">
        <is>
          <t>PlatformIO Project</t>
        </is>
      </c>
      <c r="D18" s="258" t="inlineStr">
        <is>
          <t>Create ESP32 PlatformIO project in simulation mode</t>
        </is>
      </c>
      <c r="E18" s="258" t="inlineStr">
        <is>
          <t>pio run succeeds</t>
        </is>
      </c>
      <c r="F18" s="258" t="inlineStr">
        <is>
          <t>Not Started</t>
        </is>
      </c>
      <c r="G18" s="258" t="inlineStr">
        <is>
          <t>Codex</t>
        </is>
      </c>
      <c r="H18" s="258" t="str"/>
      <c r="I18" s="258" t="str"/>
      <c r="J18" s="258" t="str"/>
      <c r="K18" s="258" t="inlineStr">
        <is>
          <t>Build log</t>
        </is>
      </c>
      <c r="L18" s="258" t="inlineStr">
        <is>
          <t>Use Codex task C1.</t>
        </is>
      </c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 ht="26.39999961853027" customHeight="1" s="51">
      <c r="A19" s="258" t="inlineStr">
        <is>
          <t>2.2</t>
        </is>
      </c>
      <c r="B19" s="258" t="inlineStr">
        <is>
          <t>2 ESP32 Sim</t>
        </is>
      </c>
      <c r="C19" s="258" t="inlineStr">
        <is>
          <t>Serial Debug</t>
        </is>
      </c>
      <c r="D19" s="258" t="inlineStr">
        <is>
          <t>Print node ID, mode, queue status, and simulated link state to Serial Monitor</t>
        </is>
      </c>
      <c r="E19" s="258" t="inlineStr">
        <is>
          <t>Readable serial output</t>
        </is>
      </c>
      <c r="F19" s="258" t="inlineStr">
        <is>
          <t>Not Started</t>
        </is>
      </c>
      <c r="G19" s="258" t="inlineStr">
        <is>
          <t>Codex/User</t>
        </is>
      </c>
      <c r="H19" s="258" t="str"/>
      <c r="I19" s="258" t="str"/>
      <c r="J19" s="258" t="str"/>
      <c r="K19" s="258" t="inlineStr">
        <is>
          <t>Serial screenshot</t>
        </is>
      </c>
      <c r="L19" s="258" t="str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 ht="26.39999961853027" customHeight="1" s="51">
      <c r="A20" s="258" t="inlineStr">
        <is>
          <t>3.1</t>
        </is>
      </c>
      <c r="B20" s="258" t="inlineStr">
        <is>
          <t>3 ESP32 LoRa</t>
        </is>
      </c>
      <c r="C20" s="258" t="inlineStr">
        <is>
          <t>LoRa Wiring Doc</t>
        </is>
      </c>
      <c r="D20" s="258" t="inlineStr">
        <is>
          <t>Document ESP32-to-SX1278 Ra-02 wiring and pin configuration</t>
        </is>
      </c>
      <c r="E20" s="258" t="inlineStr">
        <is>
          <t>Wiring sheet/config updated</t>
        </is>
      </c>
      <c r="F20" s="258" t="inlineStr">
        <is>
          <t>Not Started</t>
        </is>
      </c>
      <c r="G20" s="258" t="inlineStr">
        <is>
          <t>Codex/User</t>
        </is>
      </c>
      <c r="H20" s="258" t="str"/>
      <c r="I20" s="258" t="str"/>
      <c r="J20" s="258" t="str"/>
      <c r="K20" s="258" t="inlineStr">
        <is>
          <t>Wiring doc</t>
        </is>
      </c>
      <c r="L20" s="258" t="str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 ht="15" customHeight="1" s="51">
      <c r="A21" s="258" t="inlineStr">
        <is>
          <t>3.2</t>
        </is>
      </c>
      <c r="B21" s="258" t="inlineStr">
        <is>
          <t>3 ESP32 LoRa</t>
        </is>
      </c>
      <c r="C21" s="258" t="inlineStr">
        <is>
          <t>LoRa Send/Receive</t>
        </is>
      </c>
      <c r="D21" s="258" t="inlineStr">
        <is>
          <t>Implement LoRa packet send/receive</t>
        </is>
      </c>
      <c r="E21" s="258" t="inlineStr">
        <is>
          <t>Two nodes exchange packets</t>
        </is>
      </c>
      <c r="F21" s="258" t="inlineStr">
        <is>
          <t>Not Started</t>
        </is>
      </c>
      <c r="G21" s="258" t="inlineStr">
        <is>
          <t>Codex/User</t>
        </is>
      </c>
      <c r="H21" s="258" t="str"/>
      <c r="I21" s="258" t="str"/>
      <c r="J21" s="258" t="str"/>
      <c r="K21" s="258" t="inlineStr">
        <is>
          <t>Serial logs</t>
        </is>
      </c>
      <c r="L21" s="258" t="str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 ht="15" customHeight="1" s="51">
      <c r="A22" s="258" t="inlineStr">
        <is>
          <t>3.3</t>
        </is>
      </c>
      <c r="B22" s="258" t="inlineStr">
        <is>
          <t>3 ESP32 LoRa</t>
        </is>
      </c>
      <c r="C22" s="258" t="inlineStr">
        <is>
          <t>ACK/Retry</t>
        </is>
      </c>
      <c r="D22" s="258" t="inlineStr">
        <is>
          <t>Implement ACK, retry, duplicate filter</t>
        </is>
      </c>
      <c r="E22" s="258" t="inlineStr">
        <is>
          <t>Message delivery improves under packet loss</t>
        </is>
      </c>
      <c r="F22" s="258" t="inlineStr">
        <is>
          <t>Not Started</t>
        </is>
      </c>
      <c r="G22" s="258" t="inlineStr">
        <is>
          <t>Codex/User</t>
        </is>
      </c>
      <c r="H22" s="258" t="str"/>
      <c r="I22" s="258" t="str"/>
      <c r="J22" s="258" t="str"/>
      <c r="K22" s="258" t="inlineStr">
        <is>
          <t>Serial logs</t>
        </is>
      </c>
      <c r="L22" s="258" t="str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 ht="15" customHeight="1" s="51">
      <c r="A23" s="269" t="inlineStr">
        <is>
          <t>4.1</t>
        </is>
      </c>
      <c r="B23" s="269" t="inlineStr">
        <is>
          <t>4 Gateway</t>
        </is>
      </c>
      <c r="C23" s="269" t="inlineStr">
        <is>
          <t>Gateway Simulation</t>
        </is>
      </c>
      <c r="D23" s="269" t="inlineStr">
        <is>
          <t>Create Python/Flask gateway simulation service</t>
        </is>
      </c>
      <c r="E23" s="269" t="inlineStr">
        <is>
          <t>Runs on Mac/RPi in simulation mode</t>
        </is>
      </c>
      <c r="F23" s="269" t="inlineStr">
        <is>
          <t>Completed</t>
        </is>
      </c>
      <c r="G23" s="269" t="inlineStr">
        <is>
          <t>Codex</t>
        </is>
      </c>
      <c r="H23" s="269" t="str"/>
      <c r="I23" s="269" t="inlineStr">
        <is>
          <t>2026-05-12</t>
        </is>
      </c>
      <c r="J23" s="269" t="inlineStr">
        <is>
          <t>Gateway simulator created under rpi-gateway; six-node/two-gateway simulation, gateway forwarding, buffering, ACK, 10-second failover, and 10-second recovery validated.</t>
        </is>
      </c>
      <c r="K23" s="269" t="inlineStr">
        <is>
          <t>rpi-gateway tests passed; docs/codex-task-logs/STEP_024_RASPBERRY_PI_GATEWAY_INTEGRATION.md; commit 6bea5a5</t>
        </is>
      </c>
      <c r="L23" s="269" t="inlineStr">
        <is>
          <t>Simulation baseline only. Raspberry Pi SPI/SX1278 hardware integration remains later step.</t>
        </is>
      </c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 ht="26.39999961853027" customHeight="1" s="51">
      <c r="A24" s="258" t="inlineStr">
        <is>
          <t>4.2</t>
        </is>
      </c>
      <c r="B24" s="258" t="inlineStr">
        <is>
          <t>4 Gateway</t>
        </is>
      </c>
      <c r="C24" s="258" t="inlineStr">
        <is>
          <t>LoRa SPI Integration</t>
        </is>
      </c>
      <c r="D24" s="258" t="inlineStr">
        <is>
          <t>Connect Raspberry Pi 3B directly to LoRa module via SPI through hardware abstraction layer</t>
        </is>
      </c>
      <c r="E24" s="258" t="inlineStr">
        <is>
          <t>Gateway receives node heartbeats</t>
        </is>
      </c>
      <c r="F24" s="258" t="inlineStr">
        <is>
          <t>Completed - HAL baseline</t>
        </is>
      </c>
      <c r="G24" s="258" t="inlineStr">
        <is>
          <t>Codex/User</t>
        </is>
      </c>
      <c r="H24" s="258" t="str"/>
      <c r="I24" s="258" t="inlineStr">
        <is>
          <t>2026-05-13</t>
        </is>
      </c>
      <c r="J24" s="258" t="inlineStr">
        <is>
          <t>LoRa SPI hardware abstraction added and validated with simulated heartbeat intake. Gateway snapshot now records node heartbeats and rejects wrong-gateway frames.</t>
        </is>
      </c>
      <c r="K24" s="258" t="inlineStr">
        <is>
          <t>rpi-gateway/gateway_sim/lora_spi.py; gateway_sim/simulator.py; run_simulation.py --lora-spi-demo; unittest 8 tests passed; compileall passed.</t>
        </is>
      </c>
      <c r="L24" s="258" t="inlineStr">
        <is>
          <t>Simulation-safe HAL baseline only. Real Raspberry Pi SPI/SX1278 driver calls and physical wiring verification remain future hardware bring-up work.</t>
        </is>
      </c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 ht="26.39999961853027" customHeight="1" s="51">
      <c r="A25" s="258" t="inlineStr">
        <is>
          <t>5.1</t>
        </is>
      </c>
      <c r="B25" s="258" t="inlineStr">
        <is>
          <t>5 Router Link</t>
        </is>
      </c>
      <c r="C25" s="258" t="inlineStr">
        <is>
          <t>Router-to-Router Link</t>
        </is>
      </c>
      <c r="D25" s="258" t="inlineStr">
        <is>
          <t>Configure/verify two WiFi routers connected wirelessly as simulated satellite path</t>
        </is>
      </c>
      <c r="E25" s="258" t="inlineStr">
        <is>
          <t>Gateway A can ping Gateway B through router path</t>
        </is>
      </c>
      <c r="F25" s="258" t="inlineStr">
        <is>
          <t>Completed - sim + hardware ping</t>
        </is>
      </c>
      <c r="G25" s="258" t="inlineStr">
        <is>
          <t>Codex/User</t>
        </is>
      </c>
      <c r="H25" s="258" t="str"/>
      <c r="I25" s="258" t="inlineStr">
        <is>
          <t>2026-05-13</t>
        </is>
      </c>
      <c r="J25" s="258" t="inlineStr">
        <is>
          <t>Option A simulation completed, and user confirmed Option B hardware bridge ping works from either MGateway1 or MGateway2 to Router A, Router B, RPI A, and RPI B.</t>
        </is>
      </c>
      <c r="K25" s="258" t="inlineStr">
        <is>
          <t>Simulation command passed; user-confirmed ping reachability: 192.168.50.1, 192.168.50.102, 192.168.50.41, 192.168.50.42.</t>
        </is>
      </c>
      <c r="L25" s="258" t="inlineStr">
        <is>
          <t>Router B currently reachable at 192.168.50.102 in Universal Repeater mode. Formal copied ping log can be attached later if needed.</t>
        </is>
      </c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 ht="26.39999961853027" customHeight="1" s="51">
      <c r="A26" s="258" t="inlineStr">
        <is>
          <t>5.2</t>
        </is>
      </c>
      <c r="B26" s="258" t="inlineStr">
        <is>
          <t>5 Router Link</t>
        </is>
      </c>
      <c r="C26" s="258" t="inlineStr">
        <is>
          <t>Latency Simulation</t>
        </is>
      </c>
      <c r="D26" s="258" t="inlineStr">
        <is>
          <t>Apply 500-700 ms simulated latency using Linux tc/netem where applicable</t>
        </is>
      </c>
      <c r="E26" s="258" t="inlineStr">
        <is>
          <t>Latency measured in logs</t>
        </is>
      </c>
      <c r="F26" s="258" t="inlineStr">
        <is>
          <t>Completed - simulation baseline</t>
        </is>
      </c>
      <c r="G26" s="258" t="inlineStr">
        <is>
          <t>Codex/User</t>
        </is>
      </c>
      <c r="H26" s="258" t="str"/>
      <c r="I26" s="258" t="inlineStr">
        <is>
          <t>2026-05-13</t>
        </is>
      </c>
      <c r="J26" s="258" t="inlineStr">
        <is>
          <t>Router-link latency simulation added. Demo logs show configured/measured 600 ms latency, inside the 500-700 ms target, with remote delivery still using GATEWAY_WIFI_ROUTER.</t>
        </is>
      </c>
      <c r="K26" s="258" t="inlineStr">
        <is>
          <t>python3 run_simulation.py --latency-demo; unittest 13 tests passed; compileall passed; events include ROUTER_LINK_LATENCY_SET, PING_OK latency_ms=600, and GATEWAY_FORWARD latency_ms=600.</t>
        </is>
      </c>
      <c r="L26" s="258" t="inlineStr">
        <is>
          <t>Simulation-safe baseline only. Real Raspberry Pi tc/netem latency injection remains optional hardware/Linux verification later.</t>
        </is>
      </c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 ht="26.39999961853027" customHeight="1" s="51">
      <c r="A27" s="258" t="inlineStr">
        <is>
          <t>6.1</t>
        </is>
      </c>
      <c r="B27" s="258" t="inlineStr">
        <is>
          <t>6 Failover</t>
        </is>
      </c>
      <c r="C27" s="258" t="inlineStr">
        <is>
          <t>Failover State Machine</t>
        </is>
      </c>
      <c r="D27" s="258" t="inlineStr">
        <is>
          <t>Implement RSSI &lt; -78 dBm for 10 seconds and ACK/timeout failover triggers</t>
        </is>
      </c>
      <c r="E27" s="258" t="inlineStr">
        <is>
          <t>Failover starts within 10 seconds</t>
        </is>
      </c>
      <c r="F27" s="258" t="inlineStr">
        <is>
          <t>Completed - simulation baseline</t>
        </is>
      </c>
      <c r="G27" s="258" t="inlineStr">
        <is>
          <t>Codex/User</t>
        </is>
      </c>
      <c r="H27" s="258" t="str"/>
      <c r="I27" s="258" t="inlineStr">
        <is>
          <t>2026-05-13</t>
        </is>
      </c>
      <c r="J27" s="258" t="inlineStr">
        <is>
          <t>Failover state machine added. RSSI below -78 dBm starts DEGRADED state, 10 seconds activates FAILOVER_ACTIVE, and packets route over GATEWAY_WIFI_ROUTER. ACK-timeout failover is also covered by tests.</t>
        </is>
      </c>
      <c r="K27" s="258" t="inlineStr">
        <is>
          <t>python3 run_simulation.py --failover-demo; unittest 17 tests passed; compileall passed; events include RSSI_DEGRADED, FAILOVER_ACTIVE, and GATEWAY_FORWARD.</t>
        </is>
      </c>
      <c r="L27" s="258" t="inlineStr">
        <is>
          <t>Simulation-safe baseline only. Physical RF degradation and live RPI/LoRa failover testing remain later hardware verification.</t>
        </is>
      </c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 ht="15" customHeight="1" s="51">
      <c r="A28" s="258" t="inlineStr">
        <is>
          <t>6.2</t>
        </is>
      </c>
      <c r="B28" s="258" t="inlineStr">
        <is>
          <t>6 Failover</t>
        </is>
      </c>
      <c r="C28" s="258" t="inlineStr">
        <is>
          <t>Store and Forward</t>
        </is>
      </c>
      <c r="D28" s="258" t="inlineStr">
        <is>
          <t>Buffer messages during failover and preserve order</t>
        </is>
      </c>
      <c r="E28" s="258" t="inlineStr">
        <is>
          <t>No message loss during route switch</t>
        </is>
      </c>
      <c r="F28" s="258" t="inlineStr">
        <is>
          <t>Completed - simulation baseline</t>
        </is>
      </c>
      <c r="G28" s="258" t="inlineStr">
        <is>
          <t>Codex/User</t>
        </is>
      </c>
      <c r="H28" s="258" t="str"/>
      <c r="I28" s="258" t="inlineStr">
        <is>
          <t>2026-05-13</t>
        </is>
      </c>
      <c r="J28" s="258" t="inlineStr">
        <is>
          <t>Store-and-forward buffering added. Messages are buffered when router/gateway link is offline and flushed in original order when the link recovers, with no message loss in simulation.</t>
        </is>
      </c>
      <c r="K28" s="258" t="inlineStr">
        <is>
          <t>python3 run_simulation.py --store-forward-demo; unittest 19 tests passed; compileall passed; events include STORE_FORWARD_BUFFERED and STORE_FORWARD_FLUSH order=1/2.</t>
        </is>
      </c>
      <c r="L28" s="258" t="inlineStr">
        <is>
          <t>Simulation-safe baseline only. Live RPI/router outage buffering remains later hardware verification.</t>
        </is>
      </c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 ht="26.39999961853027" customHeight="1" s="51">
      <c r="A29" s="258" t="inlineStr">
        <is>
          <t>6.3</t>
        </is>
      </c>
      <c r="B29" s="258" t="inlineStr">
        <is>
          <t>6 Failover</t>
        </is>
      </c>
      <c r="C29" s="258" t="inlineStr">
        <is>
          <t>Recovery</t>
        </is>
      </c>
      <c r="D29" s="258" t="inlineStr">
        <is>
          <t>Return to MANET after stable link for 10 seconds; complete switch within 5 seconds</t>
        </is>
      </c>
      <c r="E29" s="258" t="inlineStr">
        <is>
          <t>Recovery passes acceptance criteria</t>
        </is>
      </c>
      <c r="F29" s="258" t="inlineStr">
        <is>
          <t>Completed - simulation baseline</t>
        </is>
      </c>
      <c r="G29" s="258" t="inlineStr">
        <is>
          <t>Codex/User</t>
        </is>
      </c>
      <c r="H29" s="258" t="str"/>
      <c r="I29" s="258" t="inlineStr">
        <is>
          <t>2026-05-13</t>
        </is>
      </c>
      <c r="J29" s="258" t="inlineStr">
        <is>
          <t>Recovery/reversion simulation added. Gateway remains on router route during RECOVERING, waits for 10 stable seconds, restores PRIMARY_LORA, and returns local traffic to LOCAL_LORA within the 5-second acceptance window.</t>
        </is>
      </c>
      <c r="K29" s="258" t="inlineStr">
        <is>
          <t>python3 run_simulation.py --recovery-demo; unittest 21 tests passed; compileall passed; events include RSSI_RECOVERY_OBSERVED and PRIMARY_LORA_RESTORED.</t>
        </is>
      </c>
      <c r="L29" s="258" t="inlineStr">
        <is>
          <t>Simulation-safe baseline only. Live RF recovery and physical RPI/LoRa timing remain later hardware verification.</t>
        </is>
      </c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 ht="15" customHeight="1" s="51">
      <c r="A30" s="258" t="inlineStr">
        <is>
          <t>7.1</t>
        </is>
      </c>
      <c r="B30" s="258" t="inlineStr">
        <is>
          <t>7 Android</t>
        </is>
      </c>
      <c r="C30" s="258" t="inlineStr">
        <is>
          <t>Android Project</t>
        </is>
      </c>
      <c r="D30" s="258" t="inlineStr">
        <is>
          <t>Create Android Studio Kotlin app MVP</t>
        </is>
      </c>
      <c r="E30" s="258" t="inlineStr">
        <is>
          <t>Project builds</t>
        </is>
      </c>
      <c r="F30" s="258" t="inlineStr">
        <is>
          <t>Completed - validated existing project</t>
        </is>
      </c>
      <c r="G30" s="258" t="inlineStr">
        <is>
          <t>Codex/User</t>
        </is>
      </c>
      <c r="H30" s="258" t="str"/>
      <c r="I30" s="258" t="inlineStr">
        <is>
          <t>2026-05-13</t>
        </is>
      </c>
      <c r="J30" s="258" t="inlineStr">
        <is>
          <t>Existing Android Kotlin app MVP validated without restarting the Android project. Debug APK build succeeds.</t>
        </is>
      </c>
      <c r="K30" s="258" t="inlineStr">
        <is>
          <t>JAVA_HOME="/Applications/Android Studio.app/Contents/jbr/Contents/Home" ./gradlew :app:assembleDebug completed BUILD SUCCESSFUL in android-chat-app.</t>
        </is>
      </c>
      <c r="L30" s="258" t="inlineStr">
        <is>
          <t>No Android code changed in this validation step. Prior Android demo/Bluetooth work remains preserved.</t>
        </is>
      </c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 ht="26.39999961853027" customHeight="1" s="51">
      <c r="A31" s="258" t="inlineStr">
        <is>
          <t>7.2</t>
        </is>
      </c>
      <c r="B31" s="258" t="inlineStr">
        <is>
          <t>7 Android</t>
        </is>
      </c>
      <c r="C31" s="258" t="inlineStr">
        <is>
          <t>Bluetooth Pairing</t>
        </is>
      </c>
      <c r="D31" s="258" t="inlineStr">
        <is>
          <t>Pair Android phone to assigned ESP32 node via Bluetooth</t>
        </is>
      </c>
      <c r="E31" s="258" t="inlineStr">
        <is>
          <t>Phone can send test message to node</t>
        </is>
      </c>
      <c r="F31" s="258" t="inlineStr">
        <is>
          <t>Completed - hardware demo validated</t>
        </is>
      </c>
      <c r="G31" s="258" t="inlineStr">
        <is>
          <t>Codex/User</t>
        </is>
      </c>
      <c r="H31" s="258" t="str"/>
      <c r="I31" s="258" t="inlineStr">
        <is>
          <t>2026-05-13</t>
        </is>
      </c>
      <c r="J31" s="258" t="inlineStr">
        <is>
          <t>Bluetooth pairing/live send validation completed from prior hardware demo. Android phones paired with PUP-MANET-NODE_A and PUP-MANET-NODE_B; phone-to-node Bluetooth messages entered ESP32 logs and crossed LoRa during Step 023 demo.</t>
        </is>
      </c>
      <c r="K31" s="258" t="inlineStr">
        <is>
          <t>User screenshots/terminal results from Step 023 demo; Android demo APK; NodeA/NodeB terminal logs; task log ANDROID_DEMO_APK_MESSAGE_FLOW.md.</t>
        </is>
      </c>
      <c r="L31" s="258" t="inlineStr">
        <is>
          <t>No new hardware retest requested. This records existing successful pairing/send evidence and preserves the Android Bluetooth implementation.</t>
        </is>
      </c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 ht="15" customHeight="1" s="51">
      <c r="A32" s="258" t="inlineStr">
        <is>
          <t>7.3</t>
        </is>
      </c>
      <c r="B32" s="258" t="inlineStr">
        <is>
          <t>7 Android</t>
        </is>
      </c>
      <c r="C32" s="258" t="inlineStr">
        <is>
          <t>Network Selection</t>
        </is>
      </c>
      <c r="D32" s="258" t="inlineStr">
        <is>
          <t>Add Auto, LoRa, WiFi, GSM manual mode selector</t>
        </is>
      </c>
      <c r="E32" s="258" t="inlineStr">
        <is>
          <t>UI and internal state work</t>
        </is>
      </c>
      <c r="F32" s="258" t="inlineStr">
        <is>
          <t>Completed - validated existing UI/state</t>
        </is>
      </c>
      <c r="G32" s="258" t="inlineStr">
        <is>
          <t>Codex/User</t>
        </is>
      </c>
      <c r="H32" s="258" t="str"/>
      <c r="I32" s="258" t="inlineStr">
        <is>
          <t>2026-05-13</t>
        </is>
      </c>
      <c r="J32" s="258" t="inlineStr">
        <is>
          <t>Existing Android app already includes Auto, LoRa, WiFi, and GSM network mode selector plus route decision state. Build validated successfully without restarting Android scope.</t>
        </is>
      </c>
      <c r="K32" s="258" t="inlineStr">
        <is>
          <t>MainActivity.kt includes NetworkMode Auto/LoRa/WiFi/GSM, NetworkSelector UI, routing/failover order, simulation controls; :app:assembleDebug BUILD SUCCESSFUL.</t>
        </is>
      </c>
      <c r="L32" s="258" t="inlineStr">
        <is>
          <t>No Android source changes were required for this validation step.</t>
        </is>
      </c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 ht="26.39999961853027" customHeight="1" s="51">
      <c r="A33" s="258" t="inlineStr">
        <is>
          <t>8.1</t>
        </is>
      </c>
      <c r="B33" s="258" t="inlineStr">
        <is>
          <t>8 Test Campaign</t>
        </is>
      </c>
      <c r="C33" s="258" t="inlineStr">
        <is>
          <t>Baseline Test</t>
        </is>
      </c>
      <c r="D33" s="258" t="inlineStr">
        <is>
          <t>Run DOCX baseline operation test</t>
        </is>
      </c>
      <c r="E33" s="258" t="inlineStr">
        <is>
          <t>PDR &gt;=95%, MANET forms &lt;30 sec, satellite inactive</t>
        </is>
      </c>
      <c r="F33" s="258" t="inlineStr">
        <is>
          <t>Not Started</t>
        </is>
      </c>
      <c r="G33" s="258" t="inlineStr">
        <is>
          <t>User</t>
        </is>
      </c>
      <c r="H33" s="258" t="str"/>
      <c r="I33" s="258" t="str"/>
      <c r="J33" s="258" t="str"/>
      <c r="K33" s="258" t="inlineStr">
        <is>
          <t>Test report</t>
        </is>
      </c>
      <c r="L33" s="258" t="str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 ht="15" customHeight="1" s="51">
      <c r="A34" s="258" t="inlineStr">
        <is>
          <t>8.2</t>
        </is>
      </c>
      <c r="B34" s="258" t="inlineStr">
        <is>
          <t>8 Test Campaign</t>
        </is>
      </c>
      <c r="C34" s="258" t="inlineStr">
        <is>
          <t>Degradation Test</t>
        </is>
      </c>
      <c r="D34" s="258" t="inlineStr">
        <is>
          <t>Run DOCX degradation detection test</t>
        </is>
      </c>
      <c r="E34" s="258" t="inlineStr">
        <is>
          <t>RSSI &lt; -78 dBm for 10 seconds detected</t>
        </is>
      </c>
      <c r="F34" s="258" t="inlineStr">
        <is>
          <t>Not Started</t>
        </is>
      </c>
      <c r="G34" s="258" t="inlineStr">
        <is>
          <t>User</t>
        </is>
      </c>
      <c r="H34" s="258" t="str"/>
      <c r="I34" s="258" t="str"/>
      <c r="J34" s="258" t="str"/>
      <c r="K34" s="258" t="inlineStr">
        <is>
          <t>Test report</t>
        </is>
      </c>
      <c r="L34" s="258" t="str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 ht="15" customHeight="1" s="51">
      <c r="A35" s="258" t="inlineStr">
        <is>
          <t>8.3</t>
        </is>
      </c>
      <c r="B35" s="258" t="inlineStr">
        <is>
          <t>8 Test Campaign</t>
        </is>
      </c>
      <c r="C35" s="258" t="inlineStr">
        <is>
          <t>Failover Test</t>
        </is>
      </c>
      <c r="D35" s="258" t="inlineStr">
        <is>
          <t>Run DOCX failover activation test</t>
        </is>
      </c>
      <c r="E35" s="258" t="inlineStr">
        <is>
          <t>Failover trigger time = 10 seconds</t>
        </is>
      </c>
      <c r="F35" s="258" t="inlineStr">
        <is>
          <t>Not Started</t>
        </is>
      </c>
      <c r="G35" s="258" t="inlineStr">
        <is>
          <t>User</t>
        </is>
      </c>
      <c r="H35" s="258" t="str"/>
      <c r="I35" s="258" t="str"/>
      <c r="J35" s="258" t="str"/>
      <c r="K35" s="258" t="inlineStr">
        <is>
          <t>Test report</t>
        </is>
      </c>
      <c r="L35" s="258" t="str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 ht="15" customHeight="1" s="51">
      <c r="A36" s="258" t="inlineStr">
        <is>
          <t>8.4</t>
        </is>
      </c>
      <c r="B36" s="258" t="inlineStr">
        <is>
          <t>8 Test Campaign</t>
        </is>
      </c>
      <c r="C36" s="258" t="inlineStr">
        <is>
          <t>Sustained Operation</t>
        </is>
      </c>
      <c r="D36" s="258" t="inlineStr">
        <is>
          <t>Run 24-hour sustained emergency operation test</t>
        </is>
      </c>
      <c r="E36" s="258" t="inlineStr">
        <is>
          <t>Uptime &gt;=80%; no unrecoverable failure</t>
        </is>
      </c>
      <c r="F36" s="258" t="inlineStr">
        <is>
          <t>Not Started</t>
        </is>
      </c>
      <c r="G36" s="258" t="inlineStr">
        <is>
          <t>User</t>
        </is>
      </c>
      <c r="H36" s="258" t="str"/>
      <c r="I36" s="258" t="str"/>
      <c r="J36" s="258" t="str"/>
      <c r="K36" s="258" t="inlineStr">
        <is>
          <t>Test report</t>
        </is>
      </c>
      <c r="L36" s="258" t="str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 ht="26.39999961853027" customHeight="1" s="51">
      <c r="A37" s="258" t="inlineStr">
        <is>
          <t>8.5</t>
        </is>
      </c>
      <c r="B37" s="258" t="inlineStr">
        <is>
          <t>8 Test Campaign</t>
        </is>
      </c>
      <c r="C37" s="258" t="inlineStr">
        <is>
          <t>Recovery Test</t>
        </is>
      </c>
      <c r="D37" s="258" t="inlineStr">
        <is>
          <t>Run DOCX recovery/reversion test</t>
        </is>
      </c>
      <c r="E37" s="258" t="inlineStr">
        <is>
          <t>Switch back within 5 seconds with no message loss</t>
        </is>
      </c>
      <c r="F37" s="258" t="inlineStr">
        <is>
          <t>Not Started</t>
        </is>
      </c>
      <c r="G37" s="258" t="inlineStr">
        <is>
          <t>User</t>
        </is>
      </c>
      <c r="H37" s="258" t="str"/>
      <c r="I37" s="258" t="str"/>
      <c r="J37" s="258" t="str"/>
      <c r="K37" s="258" t="inlineStr">
        <is>
          <t>Test report</t>
        </is>
      </c>
      <c r="L37" s="258" t="str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 ht="15" customHeight="1" s="51">
      <c r="A38" s="270" t="inlineStr">
        <is>
          <t>STEP 023</t>
        </is>
      </c>
      <c r="B38" s="269" t="inlineStr">
        <is>
          <t>23 Integrated ESP32/Android</t>
        </is>
      </c>
      <c r="C38" s="269" t="inlineStr">
        <is>
          <t>End-to-End Android-LoRa-Android Messaging</t>
        </is>
      </c>
      <c r="D38" s="269" t="inlineStr">
        <is>
          <t>Validate Android Phone A to NODE_A to LoRa to NODE_B to Android Phone B using addressed destination messaging.</t>
        </is>
      </c>
      <c r="E38" s="269" t="inlineStr">
        <is>
          <t>Terminal logs show BT_RX, LORA_TX, LORA_RX, LORA_PROTOCOL_RX, and BT_TX_FROM_LORA.</t>
        </is>
      </c>
      <c r="F38" s="270" t="inlineStr">
        <is>
          <t>Completed</t>
        </is>
      </c>
      <c r="G38" s="269" t="inlineStr">
        <is>
          <t>Codex/User</t>
        </is>
      </c>
      <c r="H38" s="269" t="inlineStr"/>
      <c r="I38" s="269" t="inlineStr">
        <is>
          <t>2026-05-13</t>
        </is>
      </c>
      <c r="J38" s="269" t="inlineStr">
        <is>
          <t>Hardware bridge and demo APK validated. Phone B sent a typed message through NODE_B over LoRa to NODE_A, and Phone A displayed the readable incoming message.</t>
        </is>
      </c>
      <c r="K38" s="269" t="inlineStr">
        <is>
          <t>Android demo APK path: android-chat-app/demo-apk/PUP-MANET-Messenger-Step023-Demo-debug.apk; NodeA_Terminal.txt / NodeB_Terminal.txt; phoneA/phoneB screenshots; task log ANDROID_DEMO_APK_MESSAGE_FLOW.md; commit 03d4cb0.</t>
        </is>
      </c>
      <c r="L38" s="269" t="inlineStr">
        <is>
          <t>Addressed specific-node demo is ready for client showing. This is not broadcast mode, and GSM remains a later workbook step.</t>
        </is>
      </c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 ht="15" customHeight="1" s="51">
      <c r="A39" s="270" t="inlineStr">
        <is>
          <t>STEP 024</t>
        </is>
      </c>
      <c r="B39" s="269" t="inlineStr">
        <is>
          <t>24 Gateway</t>
        </is>
      </c>
      <c r="C39" s="269" t="inlineStr">
        <is>
          <t>Raspberry Pi Gateway Integration - Simulation Baseline</t>
        </is>
      </c>
      <c r="D39" s="269" t="inlineStr">
        <is>
          <t>Create simulation-first gateway baseline before Raspberry Pi hardware integration.</t>
        </is>
      </c>
      <c r="E39" s="269" t="inlineStr">
        <is>
          <t>Gateway simulation runs locally and unit tests pass.</t>
        </is>
      </c>
      <c r="F39" s="270" t="inlineStr">
        <is>
          <t>Completed</t>
        </is>
      </c>
      <c r="G39" s="269" t="inlineStr">
        <is>
          <t>Codex</t>
        </is>
      </c>
      <c r="H39" s="269" t="inlineStr"/>
      <c r="I39" s="269" t="inlineStr">
        <is>
          <t>2026-05-12</t>
        </is>
      </c>
      <c r="J39" s="269" t="inlineStr">
        <is>
          <t>Python gateway simulator and tests created in rpi-gateway.</t>
        </is>
      </c>
      <c r="K39" s="269" t="inlineStr">
        <is>
          <t>python3 run_simulation.py; python3 -m unittest discover -s tests; Step 024 task log; commit 6bea5a5.</t>
        </is>
      </c>
      <c r="L39" s="269" t="inlineStr">
        <is>
          <t>Hardware SPI/LoRa gateway integration remains later workbook step.</t>
        </is>
      </c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 ht="15" customHeight="1" s="51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 ht="15" customHeight="1" s="5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 ht="15" customHeight="1" s="51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 ht="15" customHeight="1" s="51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 ht="15" customHeight="1" s="51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 ht="15" customHeight="1" s="51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L1"/>
  </mergeCells>
  <dataValidations count="2">
    <dataValidation sqref="F3:F200" showDropDown="0" showInputMessage="0" showErrorMessage="0" allowBlank="0" type="list">
      <formula1>"Not Started,In Progress,Done,Blocked,Skipped"</formula1>
    </dataValidation>
    <dataValidation sqref="F3:F45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8" customWidth="1" style="51" min="2" max="2"/>
    <col width="22" customWidth="1" style="51" min="3" max="3"/>
    <col width="38" customWidth="1" style="51" min="4" max="4"/>
    <col width="18" customWidth="1" style="51" min="5" max="5"/>
    <col width="12" customWidth="1" style="51" min="6" max="6"/>
    <col width="32" customWidth="1" style="51" min="7" max="7"/>
    <col width="34" customWidth="1" style="51" min="8" max="8"/>
    <col width="14" customWidth="1" style="51" min="9" max="9"/>
    <col width="42" customWidth="1" style="51" min="10" max="10"/>
  </cols>
  <sheetData>
    <row r="1">
      <c r="A1" s="44" t="inlineStr">
        <is>
          <t>Hardware Bill of Materials and Notes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Item</t>
        </is>
      </c>
      <c r="B3" s="42" t="inlineStr">
        <is>
          <t>Qty</t>
        </is>
      </c>
      <c r="C3" s="42" t="inlineStr">
        <is>
          <t>Use</t>
        </is>
      </c>
      <c r="D3" s="42" t="inlineStr">
        <is>
          <t>Recommended Spec</t>
        </is>
      </c>
      <c r="E3" s="42" t="inlineStr">
        <is>
          <t>Already Available?</t>
        </is>
      </c>
      <c r="F3" s="42" t="inlineStr">
        <is>
          <t>Priority</t>
        </is>
      </c>
      <c r="G3" s="42" t="inlineStr">
        <is>
          <t>Risk</t>
        </is>
      </c>
      <c r="H3" s="42" t="inlineStr">
        <is>
          <t>Validation Test</t>
        </is>
      </c>
      <c r="I3" s="42" t="inlineStr">
        <is>
          <t>Status</t>
        </is>
      </c>
      <c r="J3" s="42" t="inlineStr">
        <is>
          <t>Notes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ESP32 Dev Board</t>
        </is>
      </c>
      <c r="B4" s="258" t="inlineStr">
        <is>
          <t>6+</t>
        </is>
      </c>
      <c r="C4" s="258" t="inlineStr">
        <is>
          <t>MANET nodes</t>
        </is>
      </c>
      <c r="D4" s="258" t="inlineStr">
        <is>
          <t>ESP32 WROOM-32 acceptable; ESP32-S3 optional</t>
        </is>
      </c>
      <c r="E4" s="258" t="inlineStr">
        <is>
          <t>Yes/confirm</t>
        </is>
      </c>
      <c r="F4" s="258" t="inlineStr">
        <is>
          <t>High</t>
        </is>
      </c>
      <c r="G4" s="258" t="inlineStr">
        <is>
          <t>Pin/library differences</t>
        </is>
      </c>
      <c r="H4" s="258" t="inlineStr">
        <is>
          <t>Blink + serial + LoRa init</t>
        </is>
      </c>
      <c r="I4" s="258" t="inlineStr">
        <is>
          <t>Planned</t>
        </is>
      </c>
      <c r="J4" s="258" t="inlineStr">
        <is>
          <t>Use same board type if possible.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SX1278 Ra-02 433 MHz</t>
        </is>
      </c>
      <c r="B5" s="258" t="inlineStr">
        <is>
          <t>8</t>
        </is>
      </c>
      <c r="C5" s="258" t="inlineStr">
        <is>
          <t>6 nodes + 2 gateways</t>
        </is>
      </c>
      <c r="D5" s="258" t="inlineStr">
        <is>
          <t>433 MHz module with correct antenna</t>
        </is>
      </c>
      <c r="E5" s="258" t="inlineStr">
        <is>
          <t>Yes/confirm</t>
        </is>
      </c>
      <c r="F5" s="258" t="inlineStr">
        <is>
          <t>High</t>
        </is>
      </c>
      <c r="G5" s="258" t="inlineStr">
        <is>
          <t>Regulatory/power limits; bad antenna</t>
        </is>
      </c>
      <c r="H5" s="258" t="inlineStr">
        <is>
          <t>LoRa send/receive at short range</t>
        </is>
      </c>
      <c r="I5" s="258" t="inlineStr">
        <is>
          <t>Planned</t>
        </is>
      </c>
      <c r="J5" s="258" t="inlineStr">
        <is>
          <t>Use low power for prototype.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Raspberry Pi 3B</t>
        </is>
      </c>
      <c r="B6" s="258" t="inlineStr">
        <is>
          <t>2</t>
        </is>
      </c>
      <c r="C6" s="258" t="inlineStr">
        <is>
          <t>Gateways</t>
        </is>
      </c>
      <c r="D6" s="258" t="inlineStr">
        <is>
          <t>Pi 3B with stable 5V supply</t>
        </is>
      </c>
      <c r="E6" s="258" t="inlineStr">
        <is>
          <t>Confirm</t>
        </is>
      </c>
      <c r="F6" s="258" t="inlineStr">
        <is>
          <t>High</t>
        </is>
      </c>
      <c r="G6" s="258" t="inlineStr">
        <is>
          <t>SPI wiring, CPU limits</t>
        </is>
      </c>
      <c r="H6" s="258" t="inlineStr">
        <is>
          <t>Python LoRa gateway receives packets</t>
        </is>
      </c>
      <c r="I6" s="258" t="inlineStr">
        <is>
          <t>Planned</t>
        </is>
      </c>
      <c r="J6" s="258" t="inlineStr">
        <is>
          <t>Use Lite OS if possible.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WiFi Router 2.4 GHz</t>
        </is>
      </c>
      <c r="B7" s="258" t="inlineStr">
        <is>
          <t>2</t>
        </is>
      </c>
      <c r="C7" s="258" t="inlineStr">
        <is>
          <t>Satellite simulation</t>
        </is>
      </c>
      <c r="D7" s="258" t="inlineStr">
        <is>
          <t>Router that supports wireless bridge/repeater/client mode preferred</t>
        </is>
      </c>
      <c r="E7" s="258" t="inlineStr">
        <is>
          <t>Yes</t>
        </is>
      </c>
      <c r="F7" s="258" t="inlineStr">
        <is>
          <t>High</t>
        </is>
      </c>
      <c r="G7" s="258" t="inlineStr">
        <is>
          <t>May not bridge wirelessly</t>
        </is>
      </c>
      <c r="H7" s="258" t="inlineStr">
        <is>
          <t>Gateway ping test</t>
        </is>
      </c>
      <c r="I7" s="258" t="inlineStr">
        <is>
          <t>Planned</t>
        </is>
      </c>
      <c r="J7" s="258" t="inlineStr">
        <is>
          <t>If unsupported, use OpenWrt/travel router.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Android Phone</t>
        </is>
      </c>
      <c r="B8" s="258" t="inlineStr">
        <is>
          <t>1+</t>
        </is>
      </c>
      <c r="C8" s="258" t="inlineStr">
        <is>
          <t>Chat app testing</t>
        </is>
      </c>
      <c r="D8" s="258" t="inlineStr">
        <is>
          <t>Android 8+ recommended</t>
        </is>
      </c>
      <c r="E8" s="258" t="inlineStr">
        <is>
          <t>Confirm</t>
        </is>
      </c>
      <c r="F8" s="258" t="inlineStr">
        <is>
          <t>Medium</t>
        </is>
      </c>
      <c r="G8" s="258" t="inlineStr">
        <is>
          <t>Network permissions/background limits</t>
        </is>
      </c>
      <c r="H8" s="258" t="inlineStr">
        <is>
          <t>Install APK, connect to gateway</t>
        </is>
      </c>
      <c r="I8" s="258" t="inlineStr">
        <is>
          <t>Future</t>
        </is>
      </c>
      <c r="J8" s="258" t="inlineStr">
        <is>
          <t>Start web dashboard first.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Li-ion Battery Pack</t>
        </is>
      </c>
      <c r="B9" s="258" t="inlineStr">
        <is>
          <t>6</t>
        </is>
      </c>
      <c r="C9" s="258" t="inlineStr">
        <is>
          <t>Portable nodes</t>
        </is>
      </c>
      <c r="D9" s="258" t="inlineStr">
        <is>
          <t>3.7V/5V boost or regulated 5V</t>
        </is>
      </c>
      <c r="E9" s="258" t="inlineStr">
        <is>
          <t>Confirm</t>
        </is>
      </c>
      <c r="F9" s="258" t="inlineStr">
        <is>
          <t>Medium</t>
        </is>
      </c>
      <c r="G9" s="258" t="inlineStr">
        <is>
          <t>Voltage sag</t>
        </is>
      </c>
      <c r="H9" s="258" t="inlineStr">
        <is>
          <t>Runtime and battery reading test</t>
        </is>
      </c>
      <c r="I9" s="258" t="inlineStr">
        <is>
          <t>Future</t>
        </is>
      </c>
      <c r="J9" s="258" t="inlineStr">
        <is>
          <t>Simulation first.</t>
        </is>
      </c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8" customWidth="1" style="51" min="2" max="2"/>
    <col width="24" customWidth="1" style="51" min="3" max="3"/>
    <col width="34" customWidth="1" style="51" min="4" max="4"/>
    <col width="14" customWidth="1" style="51" min="5" max="5"/>
    <col width="24" customWidth="1" style="51" min="6" max="6"/>
    <col width="14" customWidth="1" style="51" min="7" max="7"/>
    <col width="42" customWidth="1" style="51" min="8" max="8"/>
  </cols>
  <sheetData>
    <row r="1">
      <c r="A1" s="259" t="inlineStr">
        <is>
          <t>Configuration Tracker</t>
        </is>
      </c>
      <c r="B1" s="1" t="n"/>
      <c r="C1" s="1" t="n"/>
      <c r="D1" s="1" t="n"/>
      <c r="E1" s="1" t="n"/>
      <c r="F1" s="1" t="n"/>
      <c r="G1" s="1" t="n"/>
      <c r="H1" s="1" t="n"/>
      <c r="I1" s="258" t="n"/>
      <c r="J1" s="258" t="n"/>
      <c r="K1" s="258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Parameter</t>
        </is>
      </c>
      <c r="B3" s="42" t="inlineStr">
        <is>
          <t>Default / Starting Value</t>
        </is>
      </c>
      <c r="C3" s="42" t="inlineStr">
        <is>
          <t>Where Used</t>
        </is>
      </c>
      <c r="D3" s="42" t="inlineStr">
        <is>
          <t>Reason</t>
        </is>
      </c>
      <c r="E3" s="42" t="inlineStr">
        <is>
          <t>Can Change?</t>
        </is>
      </c>
      <c r="F3" s="42" t="inlineStr">
        <is>
          <t>Updated Value</t>
        </is>
      </c>
      <c r="G3" s="42" t="inlineStr">
        <is>
          <t>Date Updated</t>
        </is>
      </c>
      <c r="H3" s="42" t="inlineStr">
        <is>
          <t>Notes</t>
        </is>
      </c>
      <c r="I3" s="258" t="n"/>
      <c r="J3" s="258" t="n"/>
      <c r="K3" s="258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LoRa Frequency</t>
        </is>
      </c>
      <c r="B4" s="258" t="inlineStr">
        <is>
          <t>433 MHz / PH_433-compatible prototype setting</t>
        </is>
      </c>
      <c r="C4" s="258" t="inlineStr">
        <is>
          <t>ESP32 + Pi LoRa</t>
        </is>
      </c>
      <c r="D4" s="258" t="inlineStr">
        <is>
          <t>Available SX1278 Ra-02 hardware</t>
        </is>
      </c>
      <c r="E4" s="258" t="inlineStr">
        <is>
          <t>Yes</t>
        </is>
      </c>
      <c r="F4" s="258" t="str"/>
      <c r="G4" s="258" t="str"/>
      <c r="H4" s="258" t="inlineStr">
        <is>
          <t>Verify compliance for non-lab use.</t>
        </is>
      </c>
      <c r="I4" s="258" t="n"/>
      <c r="J4" s="258" t="n"/>
      <c r="K4" s="258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LoRa TX Power</t>
        </is>
      </c>
      <c r="B5" s="258" t="inlineStr">
        <is>
          <t>Start low; do not maximize during lab tests</t>
        </is>
      </c>
      <c r="C5" s="258" t="inlineStr">
        <is>
          <t>ESP32 + Pi LoRa</t>
        </is>
      </c>
      <c r="D5" s="258" t="inlineStr">
        <is>
          <t>Reduce interference and stay conservative</t>
        </is>
      </c>
      <c r="E5" s="258" t="inlineStr">
        <is>
          <t>Yes</t>
        </is>
      </c>
      <c r="F5" s="258" t="str"/>
      <c r="G5" s="258" t="str"/>
      <c r="H5" s="258" t="inlineStr">
        <is>
          <t>Document exact dBm after firmware phase.</t>
        </is>
      </c>
      <c r="I5" s="258" t="n"/>
      <c r="J5" s="258" t="n"/>
      <c r="K5" s="258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RSSI Degradation Threshold</t>
        </is>
      </c>
      <c r="B6" s="258" t="inlineStr">
        <is>
          <t>-78 dBm</t>
        </is>
      </c>
      <c r="C6" s="258" t="inlineStr">
        <is>
          <t>Routing/failover</t>
        </is>
      </c>
      <c r="D6" s="258" t="inlineStr">
        <is>
          <t>From project document; conservative quality threshold</t>
        </is>
      </c>
      <c r="E6" s="258" t="inlineStr">
        <is>
          <t>Yes</t>
        </is>
      </c>
      <c r="F6" s="258" t="str"/>
      <c r="G6" s="258" t="str"/>
      <c r="H6" s="258" t="inlineStr">
        <is>
          <t>Not hard LoRa failure threshold.</t>
        </is>
      </c>
      <c r="I6" s="258" t="n"/>
      <c r="J6" s="258" t="n"/>
      <c r="K6" s="258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RSSI Critical Threshold</t>
        </is>
      </c>
      <c r="B7" s="258" t="inlineStr">
        <is>
          <t>-95 dBm</t>
        </is>
      </c>
      <c r="C7" s="258" t="inlineStr">
        <is>
          <t>Routing/failover</t>
        </is>
      </c>
      <c r="D7" s="258" t="inlineStr">
        <is>
          <t>More realistic LoRa degradation marker</t>
        </is>
      </c>
      <c r="E7" s="258" t="inlineStr">
        <is>
          <t>Yes</t>
        </is>
      </c>
      <c r="F7" s="258" t="str"/>
      <c r="G7" s="258" t="str"/>
      <c r="H7" s="258" t="inlineStr">
        <is>
          <t>Tune after field tests.</t>
        </is>
      </c>
      <c r="I7" s="258" t="n"/>
      <c r="J7" s="258" t="n"/>
      <c r="K7" s="258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Failover Delay</t>
        </is>
      </c>
      <c r="B8" s="258" t="inlineStr">
        <is>
          <t>10 seconds</t>
        </is>
      </c>
      <c r="C8" s="258" t="inlineStr">
        <is>
          <t>Gateway logic</t>
        </is>
      </c>
      <c r="D8" s="258" t="inlineStr">
        <is>
          <t>From project document</t>
        </is>
      </c>
      <c r="E8" s="258" t="inlineStr">
        <is>
          <t>Yes</t>
        </is>
      </c>
      <c r="F8" s="258" t="str"/>
      <c r="G8" s="258" t="str"/>
      <c r="H8" s="258" t="inlineStr">
        <is>
          <t>Trigger after stable failure condition.</t>
        </is>
      </c>
      <c r="I8" s="258" t="n"/>
      <c r="J8" s="258" t="n"/>
      <c r="K8" s="258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inlineStr">
        <is>
          <t>Recovery Stable Time</t>
        </is>
      </c>
      <c r="B9" s="258" t="inlineStr">
        <is>
          <t>10 seconds</t>
        </is>
      </c>
      <c r="C9" s="258" t="inlineStr">
        <is>
          <t>Gateway logic</t>
        </is>
      </c>
      <c r="D9" s="258" t="inlineStr">
        <is>
          <t>Avoid flapping</t>
        </is>
      </c>
      <c r="E9" s="258" t="inlineStr">
        <is>
          <t>Yes</t>
        </is>
      </c>
      <c r="F9" s="258" t="str"/>
      <c r="G9" s="258" t="str"/>
      <c r="H9" s="258" t="inlineStr">
        <is>
          <t>Revert only after stable link.</t>
        </is>
      </c>
      <c r="I9" s="258" t="n"/>
      <c r="J9" s="258" t="n"/>
      <c r="K9" s="258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Satellite Sim Latency</t>
        </is>
      </c>
      <c r="B10" s="258" t="inlineStr">
        <is>
          <t>500-700 ms</t>
        </is>
      </c>
      <c r="C10" s="258" t="inlineStr">
        <is>
          <t>Pi tc/netem</t>
        </is>
      </c>
      <c r="D10" s="258" t="inlineStr">
        <is>
          <t>Project target</t>
        </is>
      </c>
      <c r="E10" s="258" t="inlineStr">
        <is>
          <t>Yes</t>
        </is>
      </c>
      <c r="F10" s="258" t="str"/>
      <c r="G10" s="258" t="str"/>
      <c r="H10" s="258" t="inlineStr">
        <is>
          <t>Apply on gateway interface.</t>
        </is>
      </c>
      <c r="I10" s="258" t="n"/>
      <c r="J10" s="258" t="n"/>
      <c r="K10" s="258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inlineStr">
        <is>
          <t>Max Hop Count</t>
        </is>
      </c>
      <c r="B11" s="258" t="inlineStr">
        <is>
          <t>3</t>
        </is>
      </c>
      <c r="C11" s="258" t="inlineStr">
        <is>
          <t>ESP32 mesh</t>
        </is>
      </c>
      <c r="D11" s="258" t="inlineStr">
        <is>
          <t>Small six-node prototype</t>
        </is>
      </c>
      <c r="E11" s="258" t="inlineStr">
        <is>
          <t>Yes</t>
        </is>
      </c>
      <c r="F11" s="258" t="str"/>
      <c r="G11" s="258" t="str"/>
      <c r="H11" s="258" t="inlineStr">
        <is>
          <t>Increase only after testing.</t>
        </is>
      </c>
      <c r="I11" s="258" t="n"/>
      <c r="J11" s="258" t="n"/>
      <c r="K11" s="258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inlineStr">
        <is>
          <t>ACK Retry Count</t>
        </is>
      </c>
      <c r="B12" s="258" t="inlineStr">
        <is>
          <t>3</t>
        </is>
      </c>
      <c r="C12" s="258" t="inlineStr">
        <is>
          <t>Messaging protocol</t>
        </is>
      </c>
      <c r="D12" s="258" t="inlineStr">
        <is>
          <t>Reliability vs airtime balance</t>
        </is>
      </c>
      <c r="E12" s="258" t="inlineStr">
        <is>
          <t>Yes</t>
        </is>
      </c>
      <c r="F12" s="258" t="str"/>
      <c r="G12" s="258" t="str"/>
      <c r="H12" s="258" t="inlineStr">
        <is>
          <t>Tune after PDR tests.</t>
        </is>
      </c>
      <c r="I12" s="258" t="n"/>
      <c r="J12" s="258" t="n"/>
      <c r="K12" s="258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inlineStr">
        <is>
          <t>Destination Not Local Rule</t>
        </is>
      </c>
      <c r="B13" s="258" t="inlineStr">
        <is>
          <t>Route to next network via gateway</t>
        </is>
      </c>
      <c r="C13" s="258" t="inlineStr">
        <is>
          <t>Gateway logic</t>
        </is>
      </c>
      <c r="D13" s="258" t="inlineStr">
        <is>
          <t>User requirement</t>
        </is>
      </c>
      <c r="E13" s="258" t="inlineStr">
        <is>
          <t>No</t>
        </is>
      </c>
      <c r="F13" s="258" t="str"/>
      <c r="G13" s="258" t="str"/>
      <c r="H13" s="258" t="inlineStr">
        <is>
          <t>If destination unknown locally, forward to remote gateway.</t>
        </is>
      </c>
      <c r="I13" s="258" t="n"/>
      <c r="J13" s="258" t="n"/>
      <c r="K13" s="258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62" t="inlineStr">
        <is>
          <t>Codex/GitHub Configuration Tracker</t>
        </is>
      </c>
      <c r="B15" s="1" t="n"/>
      <c r="C15" s="1" t="n"/>
      <c r="D15" s="1" t="n"/>
      <c r="E15" s="1" t="n"/>
      <c r="F15" s="1" t="n"/>
      <c r="G15" s="1" t="n"/>
      <c r="H15" s="1" t="n"/>
      <c r="I15" s="258" t="n"/>
      <c r="J15" s="258" t="n"/>
      <c r="K15" s="258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04" t="inlineStr">
        <is>
          <t>Item</t>
        </is>
      </c>
      <c r="B16" s="204" t="inlineStr">
        <is>
          <t>Recommended Value</t>
        </is>
      </c>
      <c r="C16" s="204" t="inlineStr">
        <is>
          <t>Actual Value</t>
        </is>
      </c>
      <c r="D16" s="204" t="inlineStr">
        <is>
          <t>Where Set</t>
        </is>
      </c>
      <c r="E16" s="204" t="inlineStr">
        <is>
          <t>Owner</t>
        </is>
      </c>
      <c r="F16" s="204" t="inlineStr">
        <is>
          <t>Status</t>
        </is>
      </c>
      <c r="G16" s="204" t="inlineStr">
        <is>
          <t>Evidence</t>
        </is>
      </c>
      <c r="H16" s="204" t="inlineStr">
        <is>
          <t>Notes</t>
        </is>
      </c>
      <c r="I16" s="258" t="n"/>
      <c r="J16" s="258" t="n"/>
      <c r="K16" s="258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inlineStr">
        <is>
          <t>GitHub Repository</t>
        </is>
      </c>
      <c r="B17" s="258" t="inlineStr">
        <is>
          <t>pup-manet-emergency-messaging</t>
        </is>
      </c>
      <c r="C17" s="258" t="str"/>
      <c r="D17" s="258" t="inlineStr">
        <is>
          <t>GitHub</t>
        </is>
      </c>
      <c r="E17" s="258" t="inlineStr">
        <is>
          <t>User</t>
        </is>
      </c>
      <c r="F17" s="258" t="inlineStr">
        <is>
          <t>Not Started</t>
        </is>
      </c>
      <c r="G17" s="258" t="inlineStr">
        <is>
          <t>Repo URL</t>
        </is>
      </c>
      <c r="H17" s="258" t="str"/>
      <c r="I17" s="258" t="n"/>
      <c r="J17" s="258" t="n"/>
      <c r="K17" s="258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inlineStr">
        <is>
          <t>Local Repo Path</t>
        </is>
      </c>
      <c r="B18" s="258" t="inlineStr">
        <is>
          <t>MacBook Pro local project folder</t>
        </is>
      </c>
      <c r="C18" s="258" t="str"/>
      <c r="D18" s="258" t="inlineStr">
        <is>
          <t>Mac Finder/Terminal</t>
        </is>
      </c>
      <c r="E18" s="258" t="inlineStr">
        <is>
          <t>User</t>
        </is>
      </c>
      <c r="F18" s="258" t="inlineStr">
        <is>
          <t>Not Started</t>
        </is>
      </c>
      <c r="G18" s="258" t="inlineStr">
        <is>
          <t>pwd output</t>
        </is>
      </c>
      <c r="H18" s="258" t="str"/>
      <c r="I18" s="258" t="n"/>
      <c r="J18" s="258" t="n"/>
      <c r="K18" s="258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inlineStr">
        <is>
          <t>Codex Local Tool</t>
        </is>
      </c>
      <c r="B19" s="258" t="inlineStr">
        <is>
          <t>Installed on MacBook Pro M1 Max</t>
        </is>
      </c>
      <c r="C19" s="258" t="inlineStr">
        <is>
          <t>Installed</t>
        </is>
      </c>
      <c r="D19" s="258" t="inlineStr">
        <is>
          <t>Mac terminal</t>
        </is>
      </c>
      <c r="E19" s="258" t="inlineStr">
        <is>
          <t>User</t>
        </is>
      </c>
      <c r="F19" s="258" t="inlineStr">
        <is>
          <t>Available</t>
        </is>
      </c>
      <c r="G19" s="258" t="inlineStr">
        <is>
          <t>codex --version output</t>
        </is>
      </c>
      <c r="H19" s="258" t="inlineStr">
        <is>
          <t>User confirmed installed.</t>
        </is>
      </c>
      <c r="I19" s="258" t="n"/>
      <c r="J19" s="258" t="n"/>
      <c r="K19" s="258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inlineStr">
        <is>
          <t>Codex Cloud/GitHub</t>
        </is>
      </c>
      <c r="B20" s="258" t="inlineStr">
        <is>
          <t>Connect repo to Codex when ready</t>
        </is>
      </c>
      <c r="C20" s="258" t="str"/>
      <c r="D20" s="258" t="inlineStr">
        <is>
          <t>Codex settings</t>
        </is>
      </c>
      <c r="E20" s="258" t="inlineStr">
        <is>
          <t>User</t>
        </is>
      </c>
      <c r="F20" s="258" t="inlineStr">
        <is>
          <t>Not Started</t>
        </is>
      </c>
      <c r="G20" s="258" t="inlineStr">
        <is>
          <t>Codex environment screenshot/link</t>
        </is>
      </c>
      <c r="H20" s="258" t="str"/>
      <c r="I20" s="258" t="n"/>
      <c r="J20" s="258" t="n"/>
      <c r="K20" s="258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inlineStr">
        <is>
          <t>AGENTS.md</t>
        </is>
      </c>
      <c r="B21" s="258" t="inlineStr">
        <is>
          <t>Root-level project instructions file</t>
        </is>
      </c>
      <c r="C21" s="258" t="str"/>
      <c r="D21" s="258" t="inlineStr">
        <is>
          <t>Repo root</t>
        </is>
      </c>
      <c r="E21" s="258" t="inlineStr">
        <is>
          <t>Codex/User</t>
        </is>
      </c>
      <c r="F21" s="258" t="inlineStr">
        <is>
          <t>Not Started</t>
        </is>
      </c>
      <c r="G21" s="258" t="inlineStr">
        <is>
          <t>Commit hash</t>
        </is>
      </c>
      <c r="H21" s="258" t="str"/>
      <c r="I21" s="258" t="n"/>
      <c r="J21" s="258" t="n"/>
      <c r="K21" s="258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inlineStr">
        <is>
          <t>Default Branch</t>
        </is>
      </c>
      <c r="B22" s="258" t="inlineStr">
        <is>
          <t>main</t>
        </is>
      </c>
      <c r="C22" s="258" t="str"/>
      <c r="D22" s="258" t="inlineStr">
        <is>
          <t>GitHub</t>
        </is>
      </c>
      <c r="E22" s="258" t="inlineStr">
        <is>
          <t>User</t>
        </is>
      </c>
      <c r="F22" s="258" t="inlineStr">
        <is>
          <t>Not Started</t>
        </is>
      </c>
      <c r="G22" s="258" t="inlineStr">
        <is>
          <t>GitHub screenshot</t>
        </is>
      </c>
      <c r="H22" s="258" t="str"/>
      <c r="I22" s="258" t="n"/>
      <c r="J22" s="258" t="n"/>
      <c r="K22" s="258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inlineStr">
        <is>
          <t>Workbook Location</t>
        </is>
      </c>
      <c r="B23" s="258" t="inlineStr">
        <is>
          <t>docs/workbook/PUP_MANET_Implementation_Workbook.xlsx</t>
        </is>
      </c>
      <c r="C23" s="258" t="str"/>
      <c r="D23" s="258" t="inlineStr">
        <is>
          <t>GitHub repo</t>
        </is>
      </c>
      <c r="E23" s="258" t="inlineStr">
        <is>
          <t>User</t>
        </is>
      </c>
      <c r="F23" s="258" t="inlineStr">
        <is>
          <t>Not Started</t>
        </is>
      </c>
      <c r="G23" s="258" t="inlineStr">
        <is>
          <t>Commit hash</t>
        </is>
      </c>
      <c r="H23" s="258" t="str"/>
      <c r="I23" s="258" t="n"/>
      <c r="J23" s="258" t="n"/>
      <c r="K23" s="258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inlineStr">
        <is>
          <t>Diagrams Location</t>
        </is>
      </c>
      <c r="B24" s="258" t="inlineStr">
        <is>
          <t>docs/diagrams/</t>
        </is>
      </c>
      <c r="C24" s="258" t="str"/>
      <c r="D24" s="258" t="inlineStr">
        <is>
          <t>GitHub repo</t>
        </is>
      </c>
      <c r="E24" s="258" t="inlineStr">
        <is>
          <t>User</t>
        </is>
      </c>
      <c r="F24" s="258" t="inlineStr">
        <is>
          <t>Not Started</t>
        </is>
      </c>
      <c r="G24" s="258" t="inlineStr">
        <is>
          <t>Commit hash</t>
        </is>
      </c>
      <c r="H24" s="258" t="str"/>
      <c r="I24" s="258" t="n"/>
      <c r="J24" s="258" t="n"/>
      <c r="K24" s="258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2">
    <mergeCell ref="A1:H1"/>
    <mergeCell ref="A15:H15"/>
  </mergeCells>
  <dataValidations count="1">
    <dataValidation sqref="F17:F2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50" customWidth="1" style="51" min="2" max="2"/>
    <col width="32" customWidth="1" style="51" min="3" max="3"/>
    <col width="14" customWidth="1" style="51" min="4" max="4"/>
    <col width="12" customWidth="1" style="51" min="5" max="5"/>
    <col width="35" customWidth="1" style="51" min="6" max="6"/>
    <col width="32" customWidth="1" style="51" min="7" max="7"/>
    <col width="32" customWidth="1" style="51" min="8" max="8"/>
  </cols>
  <sheetData>
    <row r="1">
      <c r="A1" s="44" t="inlineStr">
        <is>
          <t>Proposed Packet Protocol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Packet Type</t>
        </is>
      </c>
      <c r="B3" s="42" t="inlineStr">
        <is>
          <t>Required Fields</t>
        </is>
      </c>
      <c r="C3" s="42" t="inlineStr">
        <is>
          <t>Purpose</t>
        </is>
      </c>
      <c r="D3" s="42" t="inlineStr">
        <is>
          <t>ACK Required?</t>
        </is>
      </c>
      <c r="E3" s="42" t="inlineStr">
        <is>
          <t>Stored?</t>
        </is>
      </c>
      <c r="F3" s="42" t="inlineStr">
        <is>
          <t>Example</t>
        </is>
      </c>
      <c r="G3" s="42" t="inlineStr">
        <is>
          <t>ESP32 Role</t>
        </is>
      </c>
      <c r="H3" s="42" t="inlineStr">
        <is>
          <t>Gateway Role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HELLO</t>
        </is>
      </c>
      <c r="B4" s="258" t="inlineStr">
        <is>
          <t>type,node_id,network_id,battery,rssi_last,snr_last,uptime</t>
        </is>
      </c>
      <c r="C4" s="258" t="inlineStr">
        <is>
          <t>Neighbor discovery and health</t>
        </is>
      </c>
      <c r="D4" s="258" t="inlineStr">
        <is>
          <t>No</t>
        </is>
      </c>
      <c r="E4" s="258" t="inlineStr">
        <is>
          <t>Latest only</t>
        </is>
      </c>
      <c r="F4" s="258" t="inlineStr">
        <is>
          <t>HELLO A1 NET_A batt=82</t>
        </is>
      </c>
      <c r="G4" s="258" t="inlineStr">
        <is>
          <t>Broadcast periodically</t>
        </is>
      </c>
      <c r="H4" s="258" t="inlineStr">
        <is>
          <t>Update node table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MSG</t>
        </is>
      </c>
      <c r="B5" s="258" t="inlineStr">
        <is>
          <t>type,msg_id,src,dst,network_id,payload,ttl,path,timestamp</t>
        </is>
      </c>
      <c r="C5" s="258" t="inlineStr">
        <is>
          <t>User text message</t>
        </is>
      </c>
      <c r="D5" s="258" t="inlineStr">
        <is>
          <t>Yes</t>
        </is>
      </c>
      <c r="E5" s="258" t="inlineStr">
        <is>
          <t>Yes</t>
        </is>
      </c>
      <c r="F5" s="258" t="inlineStr">
        <is>
          <t>A1 to B2: emergency text</t>
        </is>
      </c>
      <c r="G5" s="258" t="inlineStr">
        <is>
          <t>Forward/receive/ACK</t>
        </is>
      </c>
      <c r="H5" s="258" t="inlineStr">
        <is>
          <t>Route local or remote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ACK</t>
        </is>
      </c>
      <c r="B6" s="258" t="inlineStr">
        <is>
          <t>type,msg_id,src,dst,status,path,timestamp</t>
        </is>
      </c>
      <c r="C6" s="258" t="inlineStr">
        <is>
          <t>Confirm delivery or relay acceptance</t>
        </is>
      </c>
      <c r="D6" s="258" t="inlineStr">
        <is>
          <t>No</t>
        </is>
      </c>
      <c r="E6" s="258" t="inlineStr">
        <is>
          <t>Yes</t>
        </is>
      </c>
      <c r="F6" s="258" t="inlineStr">
        <is>
          <t>ACK for MSG123</t>
        </is>
      </c>
      <c r="G6" s="258" t="inlineStr">
        <is>
          <t>Return to previous hop</t>
        </is>
      </c>
      <c r="H6" s="258" t="inlineStr">
        <is>
          <t>Update delivery state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ROUTE_ADV</t>
        </is>
      </c>
      <c r="B7" s="258" t="inlineStr">
        <is>
          <t>type,gateway_id,network_id,metric,hop_count</t>
        </is>
      </c>
      <c r="C7" s="258" t="inlineStr">
        <is>
          <t>Gateway/route advertisement</t>
        </is>
      </c>
      <c r="D7" s="258" t="inlineStr">
        <is>
          <t>No</t>
        </is>
      </c>
      <c r="E7" s="258" t="inlineStr">
        <is>
          <t>Latest only</t>
        </is>
      </c>
      <c r="F7" s="258" t="inlineStr">
        <is>
          <t>GWA advertises NET_A</t>
        </is>
      </c>
      <c r="G7" s="258" t="inlineStr">
        <is>
          <t>Store route score</t>
        </is>
      </c>
      <c r="H7" s="258" t="inlineStr">
        <is>
          <t>Advertise network reachability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NACK</t>
        </is>
      </c>
      <c r="B8" s="258" t="inlineStr">
        <is>
          <t>type,msg_id,reason,last_hop</t>
        </is>
      </c>
      <c r="C8" s="258" t="inlineStr">
        <is>
          <t>Signal failure</t>
        </is>
      </c>
      <c r="D8" s="258" t="inlineStr">
        <is>
          <t>No</t>
        </is>
      </c>
      <c r="E8" s="258" t="inlineStr">
        <is>
          <t>Yes</t>
        </is>
      </c>
      <c r="F8" s="258" t="inlineStr">
        <is>
          <t>Destination unreachable</t>
        </is>
      </c>
      <c r="G8" s="258" t="inlineStr">
        <is>
          <t>Try alternate route</t>
        </is>
      </c>
      <c r="H8" s="258" t="inlineStr">
        <is>
          <t>Trigger gateway forwarding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0" customWidth="1" style="51" min="1" max="1"/>
    <col width="32" customWidth="1" style="51" min="2" max="2"/>
    <col width="36" customWidth="1" style="51" min="3" max="3"/>
    <col width="34" customWidth="1" style="51" min="4" max="4"/>
    <col width="34" customWidth="1" style="51" min="5" max="5"/>
    <col width="34" customWidth="1" style="51" min="6" max="6"/>
    <col width="24" customWidth="1" style="51" min="7" max="7"/>
    <col width="16" customWidth="1" style="51" min="8" max="8"/>
  </cols>
  <sheetData>
    <row r="1">
      <c r="A1" s="267" t="inlineStr">
        <is>
          <t>Routing &amp; Failover Logic - Test-Aligned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Mode</t>
        </is>
      </c>
      <c r="B3" s="169" t="inlineStr">
        <is>
          <t>Trigger</t>
        </is>
      </c>
      <c r="C3" s="169" t="inlineStr">
        <is>
          <t>Primary Action</t>
        </is>
      </c>
      <c r="D3" s="169" t="inlineStr">
        <is>
          <t>Fallback Action</t>
        </is>
      </c>
      <c r="E3" s="169" t="inlineStr">
        <is>
          <t>Required Log Fields</t>
        </is>
      </c>
      <c r="F3" s="169" t="inlineStr">
        <is>
          <t>Acceptance Criteria</t>
        </is>
      </c>
      <c r="G3" s="169" t="inlineStr">
        <is>
          <t>Development Phase</t>
        </is>
      </c>
      <c r="H3" s="169" t="inlineStr">
        <is>
          <t>Status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</t>
        </is>
      </c>
      <c r="B4" t="inlineStr">
        <is>
          <t>Startup / stable links</t>
        </is>
      </c>
      <c r="C4" t="inlineStr">
        <is>
          <t>6 nodes discover neighbors and exchange LoRa messages</t>
        </is>
      </c>
      <c r="D4" t="inlineStr">
        <is>
          <t>Keep simulated satellite inactive</t>
        </is>
      </c>
      <c r="E4" t="inlineStr">
        <is>
          <t>startup_time, neighbor_count, pdr, rssi, snr</t>
        </is>
      </c>
      <c r="F4" t="inlineStr">
        <is>
          <t>MANET forms ≤30 sec; PDR ≥95%; satellite inactive</t>
        </is>
      </c>
      <c r="G4" t="inlineStr">
        <is>
          <t>ESP32 + RPi simulation</t>
        </is>
      </c>
      <c r="H4" t="inlineStr">
        <is>
          <t>Pending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Degradation Detection</t>
        </is>
      </c>
      <c r="B5" t="inlineStr">
        <is>
          <t>RSSI &lt; -78 dBm for 10 sec or repeated ACK failure</t>
        </is>
      </c>
      <c r="C5" t="inlineStr">
        <is>
          <t>Mark route degraded; record event</t>
        </is>
      </c>
      <c r="D5" t="inlineStr">
        <is>
          <t>Prepare gateway failover route</t>
        </is>
      </c>
      <c r="E5" t="inlineStr">
        <is>
          <t>rssi_min, snr, ack_fail_count, degrade_start, degrade_end</t>
        </is>
      </c>
      <c r="F5" t="inlineStr">
        <is>
          <t>Degradation detected after 10 sec</t>
        </is>
      </c>
      <c r="G5" t="inlineStr">
        <is>
          <t>ESP32 + RPi simulation</t>
        </is>
      </c>
      <c r="H5" t="inlineStr">
        <is>
          <t>Pending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Route unavailable or destination not found locally</t>
        </is>
      </c>
      <c r="C6" t="inlineStr">
        <is>
          <t>Gateway forwards via WiFi-router simulated satellite</t>
        </is>
      </c>
      <c r="D6" t="inlineStr">
        <is>
          <t>Use GSM only if explicitly selected/available</t>
        </is>
      </c>
      <c r="E6" t="inlineStr">
        <is>
          <t>failover_start, failover_end, route_used, queue_depth</t>
        </is>
      </c>
      <c r="F6" t="inlineStr">
        <is>
          <t>Failover trigger time = 10 sec</t>
        </is>
      </c>
      <c r="G6" t="inlineStr">
        <is>
          <t>RPi gateway</t>
        </is>
      </c>
      <c r="H6" t="inlineStr">
        <is>
          <t>Pending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Store &amp; Forward</t>
        </is>
      </c>
      <c r="B7" t="inlineStr">
        <is>
          <t>High latency or receiver unavailable</t>
        </is>
      </c>
      <c r="C7" t="inlineStr">
        <is>
          <t>Queue messages and retry until ACK</t>
        </is>
      </c>
      <c r="D7" t="inlineStr">
        <is>
          <t>Preserve FIFO order</t>
        </is>
      </c>
      <c r="E7" t="inlineStr">
        <is>
          <t>message_id, retry_count, queue_time, ack_time</t>
        </is>
      </c>
      <c r="F7" t="inlineStr">
        <is>
          <t>No message loss during recovery test</t>
        </is>
      </c>
      <c r="G7" t="inlineStr">
        <is>
          <t>RPi gateway</t>
        </is>
      </c>
      <c r="H7" t="inlineStr">
        <is>
          <t>Pending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</t>
        </is>
      </c>
      <c r="B8" t="inlineStr">
        <is>
          <t>MANET route stable for 10 sec</t>
        </is>
      </c>
      <c r="C8" t="inlineStr">
        <is>
          <t>Switch back to primary LoRa route</t>
        </is>
      </c>
      <c r="D8" t="inlineStr">
        <is>
          <t>Deactivate simulated satellite path for normal traffic</t>
        </is>
      </c>
      <c r="E8" t="inlineStr">
        <is>
          <t>recovery_start, recovery_end, route_before, route_after</t>
        </is>
      </c>
      <c r="F8" t="inlineStr">
        <is>
          <t>Switchback ≤5 sec; no message loss</t>
        </is>
      </c>
      <c r="G8" t="inlineStr">
        <is>
          <t>RPi gateway</t>
        </is>
      </c>
      <c r="H8" t="inlineStr">
        <is>
          <t>Pending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t="inlineStr">
        <is>
          <t>Manual App Selection</t>
        </is>
      </c>
      <c r="B9" t="inlineStr">
        <is>
          <t>User selects LoRa / WiFi / GSM</t>
        </is>
      </c>
      <c r="C9" t="inlineStr">
        <is>
          <t>Use selected interface when available</t>
        </is>
      </c>
      <c r="D9" t="inlineStr">
        <is>
          <t>Show unavailable warning if selected path fails</t>
        </is>
      </c>
      <c r="E9" t="inlineStr">
        <is>
          <t>selected_network, actual_network, error</t>
        </is>
      </c>
      <c r="F9" t="inlineStr">
        <is>
          <t>Manual mode must not break Auto mode tests</t>
        </is>
      </c>
      <c r="G9" t="inlineStr">
        <is>
          <t>Android app</t>
        </is>
      </c>
      <c r="H9" t="inlineStr">
        <is>
          <t>Pending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45" customWidth="1" style="51" min="2" max="2"/>
    <col width="24" customWidth="1" style="51" min="3" max="3"/>
    <col width="24" customWidth="1" style="51" min="4" max="4"/>
    <col width="32" customWidth="1" style="51" min="5" max="5"/>
    <col width="32" customWidth="1" style="51" min="6" max="6"/>
    <col width="12" customWidth="1" style="51" min="7" max="7"/>
    <col width="14" customWidth="1" style="51" min="8" max="8"/>
    <col width="34" customWidth="1" style="51" min="9" max="9"/>
  </cols>
  <sheetData>
    <row r="1">
      <c r="A1" s="44" t="inlineStr">
        <is>
          <t>Simulation-First Development Plan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Simulation Item</t>
        </is>
      </c>
      <c r="B3" s="42" t="inlineStr">
        <is>
          <t>Description</t>
        </is>
      </c>
      <c r="C3" s="42" t="inlineStr">
        <is>
          <t>Output File/Module</t>
        </is>
      </c>
      <c r="D3" s="42" t="inlineStr">
        <is>
          <t>Inputs</t>
        </is>
      </c>
      <c r="E3" s="42" t="inlineStr">
        <is>
          <t>Expected Output</t>
        </is>
      </c>
      <c r="F3" s="42" t="inlineStr">
        <is>
          <t>Pass Criteria</t>
        </is>
      </c>
      <c r="G3" s="42" t="inlineStr">
        <is>
          <t>Priority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Node simulator</t>
        </is>
      </c>
      <c r="B4" s="258" t="inlineStr">
        <is>
          <t>Emulates ESP32 node behavior: HELLO, MSG, ACK, retry, battery</t>
        </is>
      </c>
      <c r="C4" s="258" t="inlineStr">
        <is>
          <t>sim_node.py</t>
        </is>
      </c>
      <c r="D4" s="258" t="inlineStr">
        <is>
          <t>Node ID, network ID, links</t>
        </is>
      </c>
      <c r="E4" s="258" t="inlineStr">
        <is>
          <t>Console/log packets</t>
        </is>
      </c>
      <c r="F4" s="258" t="inlineStr">
        <is>
          <t>6 nodes run simultaneously</t>
        </is>
      </c>
      <c r="G4" s="258" t="inlineStr">
        <is>
          <t>High</t>
        </is>
      </c>
      <c r="H4" s="258" t="inlineStr">
        <is>
          <t>Not Started</t>
        </is>
      </c>
      <c r="I4" s="258" t="str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Gateway simulator</t>
        </is>
      </c>
      <c r="B5" s="258" t="inlineStr">
        <is>
          <t>Emulates Pi gateway and inter-network routing</t>
        </is>
      </c>
      <c r="C5" s="258" t="inlineStr">
        <is>
          <t>sim_gateway.py</t>
        </is>
      </c>
      <c r="D5" s="258" t="inlineStr">
        <is>
          <t>GWA/GWB config</t>
        </is>
      </c>
      <c r="E5" s="258" t="inlineStr">
        <is>
          <t>Routes unknown destinations to other network</t>
        </is>
      </c>
      <c r="F5" s="258" t="inlineStr">
        <is>
          <t>A1 to B2 delivery works</t>
        </is>
      </c>
      <c r="G5" s="258" t="inlineStr">
        <is>
          <t>High</t>
        </is>
      </c>
      <c r="H5" s="258" t="inlineStr">
        <is>
          <t>Not Started</t>
        </is>
      </c>
      <c r="I5" s="258" t="str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Network fault simulator</t>
        </is>
      </c>
      <c r="B6" s="258" t="inlineStr">
        <is>
          <t>Drops packets, lowers RSSI, adds delay</t>
        </is>
      </c>
      <c r="C6" s="258" t="inlineStr">
        <is>
          <t>sim_faults.py</t>
        </is>
      </c>
      <c r="D6" s="258" t="inlineStr">
        <is>
          <t>Fault profile</t>
        </is>
      </c>
      <c r="E6" s="258" t="inlineStr">
        <is>
          <t>Failover/recovery events</t>
        </is>
      </c>
      <c r="F6" s="258" t="inlineStr">
        <is>
          <t>Failover at 10s</t>
        </is>
      </c>
      <c r="G6" s="258" t="inlineStr">
        <is>
          <t>High</t>
        </is>
      </c>
      <c r="H6" s="258" t="inlineStr">
        <is>
          <t>Not Started</t>
        </is>
      </c>
      <c r="I6" s="258" t="str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Message store</t>
        </is>
      </c>
      <c r="B7" s="258" t="inlineStr">
        <is>
          <t>SQLite or JSONL logs for messages and events</t>
        </is>
      </c>
      <c r="C7" s="258" t="inlineStr">
        <is>
          <t>messages.db/logs</t>
        </is>
      </c>
      <c r="D7" s="258" t="inlineStr">
        <is>
          <t>Packets/events</t>
        </is>
      </c>
      <c r="E7" s="258" t="inlineStr">
        <is>
          <t>Traceable delivery status</t>
        </is>
      </c>
      <c r="F7" s="258" t="inlineStr">
        <is>
          <t>No duplicate delivered messages</t>
        </is>
      </c>
      <c r="G7" s="258" t="inlineStr">
        <is>
          <t>High</t>
        </is>
      </c>
      <c r="H7" s="258" t="inlineStr">
        <is>
          <t>Not Started</t>
        </is>
      </c>
      <c r="I7" s="258" t="str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inlineStr">
        <is>
          <t>Dashboard mock</t>
        </is>
      </c>
      <c r="B8" s="258" t="inlineStr">
        <is>
          <t>Optional local web view for simulation</t>
        </is>
      </c>
      <c r="C8" s="258" t="inlineStr">
        <is>
          <t>Flask app</t>
        </is>
      </c>
      <c r="D8" s="258" t="inlineStr">
        <is>
          <t>Sim state</t>
        </is>
      </c>
      <c r="E8" s="258" t="inlineStr">
        <is>
          <t>Node and route display</t>
        </is>
      </c>
      <c r="F8" s="258" t="inlineStr">
        <is>
          <t>Usable before hardware</t>
        </is>
      </c>
      <c r="G8" s="258" t="inlineStr">
        <is>
          <t>Medium</t>
        </is>
      </c>
      <c r="H8" s="258" t="inlineStr">
        <is>
          <t>Not Started</t>
        </is>
      </c>
      <c r="I8" s="258" t="str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7" t="n"/>
      <c r="B10" s="257" t="n"/>
      <c r="C10" s="257" t="n"/>
      <c r="D10" s="257" t="n"/>
      <c r="E10" s="257" t="n"/>
      <c r="F10" s="257" t="n"/>
      <c r="G10" s="257" t="n"/>
      <c r="H10" s="257" t="n"/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4" customWidth="1" style="51" min="1" max="1"/>
    <col width="35" customWidth="1" style="51" min="2" max="2"/>
    <col width="38" customWidth="1" style="51" min="3" max="3"/>
    <col width="28" customWidth="1" style="51" min="4" max="4"/>
    <col width="24" customWidth="1" style="51" min="5" max="5"/>
    <col width="20" customWidth="1" style="51" min="6" max="6"/>
    <col width="16" customWidth="1" style="51" min="7" max="7"/>
    <col width="45" customWidth="1" style="51" min="8" max="8"/>
  </cols>
  <sheetData>
    <row r="1">
      <c r="A1" s="267" t="inlineStr">
        <is>
          <t>Android Messaging App Plan - Bluetooth / WiFi / GSM / LoRa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Feature</t>
        </is>
      </c>
      <c r="B3" s="169" t="inlineStr">
        <is>
          <t>Purpose</t>
        </is>
      </c>
      <c r="C3" s="169" t="inlineStr">
        <is>
          <t>Minimum Requirement</t>
        </is>
      </c>
      <c r="D3" s="169" t="inlineStr">
        <is>
          <t>Test Impact</t>
        </is>
      </c>
      <c r="E3" s="169" t="inlineStr">
        <is>
          <t>Interface</t>
        </is>
      </c>
      <c r="F3" s="169" t="inlineStr">
        <is>
          <t>Phase</t>
        </is>
      </c>
      <c r="G3" s="169" t="inlineStr">
        <is>
          <t>Status</t>
        </is>
      </c>
      <c r="H3" s="169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Bluetooth pairing to ESP32 node</t>
        </is>
      </c>
      <c r="B4" t="inlineStr">
        <is>
          <t>Route messages to LoRa when WiFi/GSM are unavailable</t>
        </is>
      </c>
      <c r="C4" t="inlineStr">
        <is>
          <t>Pair one phone to one MANET node; reconnect automatically</t>
        </is>
      </c>
      <c r="D4" t="inlineStr">
        <is>
          <t>Required for end-to-end LoRa validation</t>
        </is>
      </c>
      <c r="E4" t="inlineStr">
        <is>
          <t>Bluetooth Serial/BLE</t>
        </is>
      </c>
      <c r="F4" t="inlineStr">
        <is>
          <t>Android Phase 1</t>
        </is>
      </c>
      <c r="G4" t="inlineStr">
        <is>
          <t>Pending</t>
        </is>
      </c>
      <c r="H4" t="inlineStr">
        <is>
          <t>Start with classic Bluetooth SPP if ESP32 Android compatibility is acceptable; BLE if needed.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Auto network selection</t>
        </is>
      </c>
      <c r="B5" t="inlineStr">
        <is>
          <t>Select best available route</t>
        </is>
      </c>
      <c r="C5" t="inlineStr">
        <is>
          <t>Check WiFi, GSM, Bluetooth-LoRa status</t>
        </is>
      </c>
      <c r="D5" t="inlineStr">
        <is>
          <t>Supports degraded/failover behavior</t>
        </is>
      </c>
      <c r="E5" t="inlineStr">
        <is>
          <t>Android network APIs + BT status</t>
        </is>
      </c>
      <c r="F5" t="inlineStr">
        <is>
          <t>Android Phase 2</t>
        </is>
      </c>
      <c r="G5" t="inlineStr">
        <is>
          <t>Pending</t>
        </is>
      </c>
      <c r="H5" t="inlineStr">
        <is>
          <t>Auto should prefer local WiFi when valid, then GSM, then LoRa depending on policy; tests can force LoRa.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Manual route selection</t>
        </is>
      </c>
      <c r="B6" t="inlineStr">
        <is>
          <t>User can choose LoRa, WiFi, or GSM</t>
        </is>
      </c>
      <c r="C6" t="inlineStr">
        <is>
          <t>Dropdown or segmented control</t>
        </is>
      </c>
      <c r="D6" t="inlineStr">
        <is>
          <t>Allows controlled test cases</t>
        </is>
      </c>
      <c r="E6" t="inlineStr">
        <is>
          <t>UI setting</t>
        </is>
      </c>
      <c r="F6" t="inlineStr">
        <is>
          <t>Android Phase 2</t>
        </is>
      </c>
      <c r="G6" t="inlineStr">
        <is>
          <t>Pending</t>
        </is>
      </c>
      <c r="H6" t="inlineStr">
        <is>
          <t>Manual setting must show selected and actual route.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Message status</t>
        </is>
      </c>
      <c r="B7" t="inlineStr">
        <is>
          <t>Show sent, queued, delivered, failed</t>
        </is>
      </c>
      <c r="C7" t="inlineStr">
        <is>
          <t>Display ACK state and route used</t>
        </is>
      </c>
      <c r="D7" t="inlineStr">
        <is>
          <t>Needed for validation evidence</t>
        </is>
      </c>
      <c r="E7" t="inlineStr">
        <is>
          <t>Gateway/API + BT response</t>
        </is>
      </c>
      <c r="F7" t="inlineStr">
        <is>
          <t>Android Phase 2</t>
        </is>
      </c>
      <c r="G7" t="inlineStr">
        <is>
          <t>Pending</t>
        </is>
      </c>
      <c r="H7" t="inlineStr">
        <is>
          <t>Keep message IDs visible in debug mode.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Simulation mode</t>
        </is>
      </c>
      <c r="B8" t="inlineStr">
        <is>
          <t>Test without real radios</t>
        </is>
      </c>
      <c r="C8" t="inlineStr">
        <is>
          <t>Mock route status and message delivery</t>
        </is>
      </c>
      <c r="D8" t="inlineStr">
        <is>
          <t>Used before hardware testing</t>
        </is>
      </c>
      <c r="E8" t="inlineStr">
        <is>
          <t>Local mock service</t>
        </is>
      </c>
      <c r="F8" t="inlineStr">
        <is>
          <t>Android Phase 0</t>
        </is>
      </c>
      <c r="G8" t="inlineStr">
        <is>
          <t>Pending</t>
        </is>
      </c>
      <c r="H8" t="inlineStr">
        <is>
          <t>Important because development starts in simulation.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26" customWidth="1" style="51" min="1" max="1"/>
    <col width="22" customWidth="1" style="51" min="2" max="2"/>
    <col width="36" customWidth="1" style="51" min="3" max="3"/>
    <col width="38" customWidth="1" style="51" min="4" max="4"/>
    <col width="32" customWidth="1" style="51" min="5" max="5"/>
    <col width="36" customWidth="1" style="51" min="6" max="6"/>
    <col width="32" customWidth="1" style="51" min="7" max="7"/>
    <col width="32" customWidth="1" style="51" min="8" max="8"/>
    <col width="30" customWidth="1" style="51" min="9" max="9"/>
    <col width="16" customWidth="1" style="51" min="10" max="10"/>
  </cols>
  <sheetData>
    <row r="1">
      <c r="A1" s="267" t="inlineStr">
        <is>
          <t>Test Campaign - Pass/Fail Mapping to Updated Diagrams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169" t="inlineStr">
        <is>
          <t>Test</t>
        </is>
      </c>
      <c r="B3" s="169" t="inlineStr">
        <is>
          <t>System Mode</t>
        </is>
      </c>
      <c r="C3" s="169" t="inlineStr">
        <is>
          <t>Required Setup</t>
        </is>
      </c>
      <c r="D3" s="169" t="inlineStr">
        <is>
          <t>Procedure Focus</t>
        </is>
      </c>
      <c r="E3" s="169" t="inlineStr">
        <is>
          <t>Measured Parameters</t>
        </is>
      </c>
      <c r="F3" s="169" t="inlineStr">
        <is>
          <t>Acceptance Criteria</t>
        </is>
      </c>
      <c r="G3" s="169" t="inlineStr">
        <is>
          <t>Diagram Reference</t>
        </is>
      </c>
      <c r="H3" s="169" t="inlineStr">
        <is>
          <t>Workbook Reference</t>
        </is>
      </c>
      <c r="I3" s="169" t="inlineStr">
        <is>
          <t>Evidence to Capture</t>
        </is>
      </c>
      <c r="J3" s="169" t="inlineStr">
        <is>
          <t>Status</t>
        </is>
      </c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t="inlineStr">
        <is>
          <t>Baseline Operation</t>
        </is>
      </c>
      <c r="B4" t="inlineStr">
        <is>
          <t>Normal LoRa MANET</t>
        </is>
      </c>
      <c r="C4" t="inlineStr">
        <is>
          <t>6 ESP32 LoRa nodes, 2 gateways, satellite routers inactive</t>
        </is>
      </c>
      <c r="D4" t="inlineStr">
        <is>
          <t>Auto-discovery and periodic text packets</t>
        </is>
      </c>
      <c r="E4" t="inlineStr">
        <is>
          <t>RSSI, SNR, hop count, PDR, latency</t>
        </is>
      </c>
      <c r="F4" t="inlineStr">
        <is>
          <t>PDR ≥95%; MANET forms ≤30 sec; satellite inactive</t>
        </is>
      </c>
      <c r="G4" t="inlineStr">
        <is>
          <t>System Diagram + Data Flow steps 1-4</t>
        </is>
      </c>
      <c r="H4" t="inlineStr">
        <is>
          <t>Routing &amp; Failover row Baseline</t>
        </is>
      </c>
      <c r="I4" t="inlineStr">
        <is>
          <t>Startup logs, PDR report, screenshot</t>
        </is>
      </c>
      <c r="J4" t="inlineStr">
        <is>
          <t>Pending</t>
        </is>
      </c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t="inlineStr">
        <is>
          <t>Network Degradation Detection</t>
        </is>
      </c>
      <c r="B5" t="inlineStr">
        <is>
          <t>Degraded MANET</t>
        </is>
      </c>
      <c r="C5" t="inlineStr">
        <is>
          <t>Same as baseline with distance/attenuation introduced</t>
        </is>
      </c>
      <c r="D5" t="inlineStr">
        <is>
          <t>Lower RSSI until threshold condition</t>
        </is>
      </c>
      <c r="E5" t="inlineStr">
        <is>
          <t>RSSI trend, detection time, route change</t>
        </is>
      </c>
      <c r="F5" t="inlineStr">
        <is>
          <t>RSSI &lt; -78 dBm for 10 sec must be detected</t>
        </is>
      </c>
      <c r="G5" t="inlineStr">
        <is>
          <t>Control Logic block</t>
        </is>
      </c>
      <c r="H5" t="inlineStr">
        <is>
          <t>Routing &amp; Failover row Degradation Detection</t>
        </is>
      </c>
      <c r="I5" t="inlineStr">
        <is>
          <t>RSSI log graph/table</t>
        </is>
      </c>
      <c r="J5" t="inlineStr">
        <is>
          <t>Pending</t>
        </is>
      </c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t="inlineStr">
        <is>
          <t>Failover Activation</t>
        </is>
      </c>
      <c r="B6" t="inlineStr">
        <is>
          <t>Failover via simulated satellite</t>
        </is>
      </c>
      <c r="C6" t="inlineStr">
        <is>
          <t>MANET active, WiFi router-to-router link available</t>
        </is>
      </c>
      <c r="D6" t="inlineStr">
        <is>
          <t>Route unavailable or destination not found locally</t>
        </is>
      </c>
      <c r="E6" t="inlineStr">
        <is>
          <t>Trigger time, gateway status, queue depth</t>
        </is>
      </c>
      <c r="F6" t="inlineStr">
        <is>
          <t>Failover trigger time = 10 sec</t>
        </is>
      </c>
      <c r="G6" t="inlineStr">
        <is>
          <t>System Diagram failover path; Data Flow step 5</t>
        </is>
      </c>
      <c r="H6" t="inlineStr">
        <is>
          <t>Routing &amp; Failover row Failover Activation</t>
        </is>
      </c>
      <c r="I6" t="inlineStr">
        <is>
          <t>Gateway logs + message delivery proof</t>
        </is>
      </c>
      <c r="J6" t="inlineStr">
        <is>
          <t>Pending</t>
        </is>
      </c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t="inlineStr">
        <is>
          <t>Sustained Emergency Operation</t>
        </is>
      </c>
      <c r="B7" t="inlineStr">
        <is>
          <t>Emergency operation</t>
        </is>
      </c>
      <c r="C7" t="inlineStr">
        <is>
          <t>Battery-powered nodes and gateways running</t>
        </is>
      </c>
      <c r="D7" t="inlineStr">
        <is>
          <t>Run for 24 hours with controlled events</t>
        </is>
      </c>
      <c r="E7" t="inlineStr">
        <is>
          <t>Uptime, battery, route stability, queue health</t>
        </is>
      </c>
      <c r="F7" t="inlineStr">
        <is>
          <t>Uptime ≥80%; no crash/deadlock</t>
        </is>
      </c>
      <c r="G7" t="inlineStr">
        <is>
          <t>System Diagram test-critical logic</t>
        </is>
      </c>
      <c r="H7" t="inlineStr">
        <is>
          <t>Simulation Plan + Progress Tracker</t>
        </is>
      </c>
      <c r="I7" t="inlineStr">
        <is>
          <t>24-hour service logs</t>
        </is>
      </c>
      <c r="J7" t="inlineStr">
        <is>
          <t>Pending</t>
        </is>
      </c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t="inlineStr">
        <is>
          <t>Recovery and Reversion</t>
        </is>
      </c>
      <c r="B8" t="inlineStr">
        <is>
          <t>Recovery mode</t>
        </is>
      </c>
      <c r="C8" t="inlineStr">
        <is>
          <t>Start in failover, then restore MANET link quality</t>
        </is>
      </c>
      <c r="D8" t="inlineStr">
        <is>
          <t>Stable RSSI for 10 sec then switch back</t>
        </is>
      </c>
      <c r="E8" t="inlineStr">
        <is>
          <t>Recovery time, packet loss, route before/after</t>
        </is>
      </c>
      <c r="F8" t="inlineStr">
        <is>
          <t>Switchback ≤5 sec; no message loss</t>
        </is>
      </c>
      <c r="G8" t="inlineStr">
        <is>
          <t>Data Flow recovery row</t>
        </is>
      </c>
      <c r="H8" t="inlineStr">
        <is>
          <t>Routing &amp; Failover row Recovery</t>
        </is>
      </c>
      <c r="I8" t="inlineStr">
        <is>
          <t>Route-change logs + message ACKs</t>
        </is>
      </c>
      <c r="J8" t="inlineStr">
        <is>
          <t>Pending</t>
        </is>
      </c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J1"/>
  </mergeCells>
  <dataValidations count="1">
    <dataValidation sqref="H4:H100" showDropDown="0" showInputMessage="0" showErrorMessage="0" allowBlank="0" type="list">
      <formula1>"Not Started,In Progress,Pass,Fail,Blocked"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style="51" min="1" max="1"/>
    <col width="18" customWidth="1" style="51" min="2" max="2"/>
    <col width="45" customWidth="1" style="51" min="3" max="3"/>
    <col width="36" customWidth="1" style="51" min="4" max="4"/>
    <col width="28" customWidth="1" style="51" min="5" max="5"/>
    <col width="18" customWidth="1" style="51" min="6" max="6"/>
    <col width="24" customWidth="1" style="51" min="7" max="7"/>
    <col width="40" customWidth="1" style="51" min="8" max="8"/>
    <col width="18" customWidth="1" style="51" min="9" max="9"/>
    <col width="18" customWidth="1" style="51" min="10" max="10"/>
    <col width="18" customWidth="1" style="51" min="11" max="11"/>
    <col width="18" customWidth="1" style="51" min="12" max="12"/>
  </cols>
  <sheetData>
    <row r="1">
      <c r="A1" s="44" t="inlineStr">
        <is>
          <t>Progress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Date</t>
        </is>
      </c>
      <c r="B3" s="42" t="inlineStr">
        <is>
          <t>Step ID</t>
        </is>
      </c>
      <c r="C3" s="42" t="inlineStr">
        <is>
          <t>What Was Done</t>
        </is>
      </c>
      <c r="D3" s="42" t="inlineStr">
        <is>
          <t>Result</t>
        </is>
      </c>
      <c r="E3" s="42" t="inlineStr">
        <is>
          <t>Evidence</t>
        </is>
      </c>
      <c r="F3" s="42" t="inlineStr">
        <is>
          <t>Updated By</t>
        </is>
      </c>
      <c r="G3" s="42" t="inlineStr">
        <is>
          <t>Next Step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69" t="inlineStr">
        <is>
          <t>2026-05-12</t>
        </is>
      </c>
      <c r="B4" s="270" t="inlineStr">
        <is>
          <t>STEP 023</t>
        </is>
      </c>
      <c r="C4" s="269" t="inlineStr">
        <is>
          <t>Completed end-to-end Android to LoRa to Android hardware bridge using two Android phones and two ESP32 LoRa nodes.</t>
        </is>
      </c>
      <c r="D4" s="270" t="inlineStr">
        <is>
          <t>Completed</t>
        </is>
      </c>
      <c r="E4" s="269" t="inlineStr">
        <is>
          <t>NodeA/NodeB terminal logs: BT_RX, LORA_TX BT1 relay, LORA_RX, LORA_PROTOCOL_RX, BT_TX_FROM_LORA; commit 38e7b57.</t>
        </is>
      </c>
      <c r="F4" s="269" t="inlineStr">
        <is>
          <t>Codex + User</t>
        </is>
      </c>
      <c r="G4" s="269" t="inlineStr">
        <is>
          <t>STEP 024 - Raspberry Pi Gateway Integration</t>
        </is>
      </c>
      <c r="H4" s="269" t="inlineStr">
        <is>
          <t>Specific-node messaging validated. Broadcast and GSM remain later workbook work.</t>
        </is>
      </c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69" t="inlineStr">
        <is>
          <t>2026-05-12</t>
        </is>
      </c>
      <c r="B5" s="270" t="inlineStr">
        <is>
          <t>STEP 024</t>
        </is>
      </c>
      <c r="C5" s="269" t="inlineStr">
        <is>
          <t>Created Raspberry Pi gateway simulation baseline in rpi-gateway with six nodes, two gateways, WiFi-router simulated satellite path, buffering, ACK, failover, and recovery.</t>
        </is>
      </c>
      <c r="D5" s="270" t="inlineStr">
        <is>
          <t>Completed - simulation baseline</t>
        </is>
      </c>
      <c r="E5" s="269" t="inlineStr">
        <is>
          <t>python3 run_simulation.py succeeded; python3 -m unittest discover -s tests passed 6 tests; compileall succeeded; commit 6bea5a5.</t>
        </is>
      </c>
      <c r="F5" s="269" t="inlineStr">
        <is>
          <t>Codex</t>
        </is>
      </c>
      <c r="G5" s="269" t="inlineStr">
        <is>
          <t>Next workbook step after Step 024</t>
        </is>
      </c>
      <c r="H5" s="269" t="inlineStr">
        <is>
          <t>No Raspberry Pi SPI/LoRa hardware integration yet; hardware remains later step.</t>
        </is>
      </c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75" t="inlineStr">
        <is>
          <t>2026-05-13</t>
        </is>
      </c>
      <c r="B6" s="276" t="inlineStr">
        <is>
          <t>STEP 023 DEMO APK</t>
        </is>
      </c>
      <c r="C6" s="275" t="inlineStr">
        <is>
          <t>Updated Android demo APK flow and validated physical typed-message demo using two phones, two ESP32 Bluetooth links, and LoRa between NODE_A and NODE_B.</t>
        </is>
      </c>
      <c r="D6" s="276" t="inlineStr">
        <is>
          <t>Completed - demo-ready</t>
        </is>
      </c>
      <c r="E6" s="275" t="inlineStr">
        <is>
          <t>Phone B -&gt; PUP-MANET-NODE_B -&gt; LoRa -&gt; PUP-MANET-NODE_A -&gt; Phone A showed Incoming: message from Phone b; APK built at android-chat-app/demo-apk/PUP-MANET-Messenger-Step023-Demo-debug.apk; commit 03d4cb0.</t>
        </is>
      </c>
      <c r="F6" s="275" t="inlineStr">
        <is>
          <t>Codex + User</t>
        </is>
      </c>
      <c r="G6" s="275" t="inlineStr">
        <is>
          <t>Proceed to next workbook step after demo baseline is accepted.</t>
        </is>
      </c>
      <c r="H6" s="275" t="inlineStr">
        <is>
          <t>Current demo is addressed node-to-node messaging. Broadcast and GSM network behavior are not implemented yet and remain future workbook scope.</t>
        </is>
      </c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75" t="inlineStr">
        <is>
          <t>2026-05-13</t>
        </is>
      </c>
      <c r="B7" s="276" t="inlineStr">
        <is>
          <t>4.2 / STEP 025</t>
        </is>
      </c>
      <c r="C7" s="275" t="inlineStr">
        <is>
          <t>Added Raspberry Pi LoRa SPI hardware abstraction baseline and simulated node heartbeat intake for the gateway layer.</t>
        </is>
      </c>
      <c r="D7" s="276" t="inlineStr">
        <is>
          <t>Completed - HAL baseline</t>
        </is>
      </c>
      <c r="E7" s="275" t="inlineStr">
        <is>
          <t>python3 run_simulation.py --lora-spi-demo received 2 heartbeats; python3 -m unittest discover -s tests passed 8 tests; python3 -m compileall gateway_sim run_simulation.py passed.</t>
        </is>
      </c>
      <c r="F7" s="275" t="inlineStr">
        <is>
          <t>Codex</t>
        </is>
      </c>
      <c r="G7" s="275" t="inlineStr">
        <is>
          <t>Next workbook step after LoRa SPI HAL baseline.</t>
        </is>
      </c>
      <c r="H7" s="275" t="inlineStr">
        <is>
          <t>No real Raspberry Pi SPI/SX1278 driver calls yet. Hardware wiring verification remains later bring-up scope.</t>
        </is>
      </c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75" t="inlineStr">
        <is>
          <t>2026-05-13</t>
        </is>
      </c>
      <c r="B8" s="276" t="inlineStr">
        <is>
          <t>5.1 / STEP 026 Option A</t>
        </is>
      </c>
      <c r="C8" s="275" t="inlineStr">
        <is>
          <t>Added router-to-router link simulation for Gateway A to Gateway B reachability before real router configuration.</t>
        </is>
      </c>
      <c r="D8" s="276" t="inlineStr">
        <is>
          <t>Completed - simulation baseline</t>
        </is>
      </c>
      <c r="E8" s="275" t="inlineStr">
        <is>
          <t>python3 run_simulation.py --router-link-demo showed initial ping OK, remote delivery via GATEWAY_WIFI_ROUTER, link-down ping failure, delivery failure, and recovered ping OK; unittest passed 11 tests; compileall passed.</t>
        </is>
      </c>
      <c r="F8" s="275" t="inlineStr">
        <is>
          <t>Codex</t>
        </is>
      </c>
      <c r="G8" s="275" t="inlineStr">
        <is>
          <t>Proceed to Option B real router hardware ping setup when user is ready.</t>
        </is>
      </c>
      <c r="H8" s="275" t="inlineStr">
        <is>
          <t>No physical router settings changed. Real Raspberry Pi/router ping evidence remains separate hardware verification.</t>
        </is>
      </c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75" t="inlineStr">
        <is>
          <t>2026-05-13</t>
        </is>
      </c>
      <c r="B9" s="276" t="inlineStr">
        <is>
          <t>5.1 / STEP 026 Option B</t>
        </is>
      </c>
      <c r="C9" s="275" t="inlineStr">
        <is>
          <t>Recorded user-confirmed real TP-Link Universal Repeater bridge ping success across the independent 192.168.50.x project network.</t>
        </is>
      </c>
      <c r="D9" s="276" t="inlineStr">
        <is>
          <t>Completed - hardware ping reported</t>
        </is>
      </c>
      <c r="E9" s="275" t="inlineStr">
        <is>
          <t>Mac connected to either MGateway1 or MGateway2 can ping 192.168.50.1, 192.168.50.102, 192.168.50.41, and 192.168.50.42.</t>
        </is>
      </c>
      <c r="F9" s="275" t="inlineStr">
        <is>
          <t>User + Codex</t>
        </is>
      </c>
      <c r="G9" s="275" t="inlineStr">
        <is>
          <t>Proceed to Step 5.2 latency simulation.</t>
        </is>
      </c>
      <c r="H9" s="275" t="inlineStr">
        <is>
          <t>Router B is DHCP/repeater reachable at 192.168.50.102 rather than static 192.168.50.2; this is acceptable for the current bridge test.</t>
        </is>
      </c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75" t="inlineStr">
        <is>
          <t>2026-05-13</t>
        </is>
      </c>
      <c r="B10" s="276" t="inlineStr">
        <is>
          <t>5.2 / STEP 027</t>
        </is>
      </c>
      <c r="C10" s="275" t="inlineStr">
        <is>
          <t>Added router-link latency simulation and logging for the 500-700 ms target range.</t>
        </is>
      </c>
      <c r="D10" s="276" t="inlineStr">
        <is>
          <t>Completed - simulation baseline</t>
        </is>
      </c>
      <c r="E10" s="275" t="inlineStr">
        <is>
          <t>python3 run_simulation.py --latency-demo measured 600 ms; unittest passed 13 tests; compileall passed.</t>
        </is>
      </c>
      <c r="F10" s="275" t="inlineStr">
        <is>
          <t>Codex</t>
        </is>
      </c>
      <c r="G10" s="275" t="inlineStr">
        <is>
          <t>Proceed to next workbook step 6.1 failover state machine.</t>
        </is>
      </c>
      <c r="H10" s="275" t="inlineStr">
        <is>
          <t>No real tc/netem changes applied to RPIs yet. This remains simulation-safe.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75" t="inlineStr">
        <is>
          <t>2026-05-13</t>
        </is>
      </c>
      <c r="B11" s="276" t="inlineStr">
        <is>
          <t>6.1 / STEP 028</t>
        </is>
      </c>
      <c r="C11" s="275" t="inlineStr">
        <is>
          <t>Added failover state machine simulation for RSSI threshold and ACK-timeout triggers.</t>
        </is>
      </c>
      <c r="D11" s="276" t="inlineStr">
        <is>
          <t>Completed - simulation baseline</t>
        </is>
      </c>
      <c r="E11" s="275" t="inlineStr">
        <is>
          <t>python3 run_simulation.py --failover-demo showed DEGRADED before 10s, FAILOVER_ACTIVE at 10s, and message route GATEWAY_WIFI_ROUTER; unittest passed 17 tests; compileall passed.</t>
        </is>
      </c>
      <c r="F11" s="275" t="inlineStr">
        <is>
          <t>Codex</t>
        </is>
      </c>
      <c r="G11" s="275" t="inlineStr">
        <is>
          <t>Proceed to Step 6.2 store-and-forward buffering.</t>
        </is>
      </c>
      <c r="H11" s="275" t="inlineStr">
        <is>
          <t>No physical RF attenuation or live RPI/LoRa failover test performed yet.</t>
        </is>
      </c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75" t="inlineStr">
        <is>
          <t>2026-05-13</t>
        </is>
      </c>
      <c r="B12" s="276" t="inlineStr">
        <is>
          <t>6.2 / STEP 029</t>
        </is>
      </c>
      <c r="C12" s="275" t="inlineStr">
        <is>
          <t>Added store-and-forward buffering during router-link outage and ordered flush after recovery.</t>
        </is>
      </c>
      <c r="D12" s="276" t="inlineStr">
        <is>
          <t>Completed - simulation baseline</t>
        </is>
      </c>
      <c r="E12" s="275" t="inlineStr">
        <is>
          <t>python3 run_simulation.py --store-forward-demo buffered 2 packets, preserved order, and flushed to delivery; unittest passed 19 tests; compileall passed.</t>
        </is>
      </c>
      <c r="F12" s="275" t="inlineStr">
        <is>
          <t>Codex</t>
        </is>
      </c>
      <c r="G12" s="275" t="inlineStr">
        <is>
          <t>Proceed to Step 6.3 recovery/reversion.</t>
        </is>
      </c>
      <c r="H12" s="275" t="inlineStr">
        <is>
          <t>No physical router outage or live RPI buffering test performed yet.</t>
        </is>
      </c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75" t="inlineStr">
        <is>
          <t>2026-05-13</t>
        </is>
      </c>
      <c r="B13" s="276" t="inlineStr">
        <is>
          <t>6.3 / STEP 030</t>
        </is>
      </c>
      <c r="C13" s="275" t="inlineStr">
        <is>
          <t>Added recovery/reversion simulation after stable LoRa recovery window.</t>
        </is>
      </c>
      <c r="D13" s="276" t="inlineStr">
        <is>
          <t>Completed - simulation baseline</t>
        </is>
      </c>
      <c r="E13" s="275" t="inlineStr">
        <is>
          <t>python3 run_simulation.py --recovery-demo restored PRIMARY_LORA after 10 stable seconds and returned route_after_recovery to LOCAL_LORA; unittest passed 21 tests; compileall passed.</t>
        </is>
      </c>
      <c r="F13" s="275" t="inlineStr">
        <is>
          <t>Codex</t>
        </is>
      </c>
      <c r="G13" s="275" t="inlineStr">
        <is>
          <t>Proceed to next workbook step after failover/recovery baseline.</t>
        </is>
      </c>
      <c r="H13" s="275" t="inlineStr">
        <is>
          <t>No physical RF recovery timing test performed yet.</t>
        </is>
      </c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75" t="inlineStr">
        <is>
          <t>2026-05-13</t>
        </is>
      </c>
      <c r="B14" s="276" t="inlineStr">
        <is>
          <t>7.1 / STEP 031</t>
        </is>
      </c>
      <c r="C14" s="275" t="inlineStr">
        <is>
          <t>Validated existing Android Kotlin app MVP project build without restarting Android development.</t>
        </is>
      </c>
      <c r="D14" s="276" t="inlineStr">
        <is>
          <t>Completed - build validated</t>
        </is>
      </c>
      <c r="E14" s="275" t="inlineStr">
        <is>
          <t>JAVA_HOME="/Applications/Android Studio.app/Contents/jbr/Contents/Home" ./gradlew :app:assembleDebug succeeded; BUILD SUCCESSFUL.</t>
        </is>
      </c>
      <c r="F14" s="275" t="inlineStr">
        <is>
          <t>Codex</t>
        </is>
      </c>
      <c r="G14" s="275" t="inlineStr">
        <is>
          <t>Proceed to Step 7.2 Bluetooth pairing validation/update.</t>
        </is>
      </c>
      <c r="H14" s="275" t="inlineStr">
        <is>
          <t>No Android code changes were required for this validation step.</t>
        </is>
      </c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75" t="inlineStr">
        <is>
          <t>2026-05-13</t>
        </is>
      </c>
      <c r="B15" s="276" t="inlineStr">
        <is>
          <t>7.2 / STEP 032</t>
        </is>
      </c>
      <c r="C15" s="275" t="inlineStr">
        <is>
          <t>Recorded Bluetooth pairing/live send validation from the existing Android-to-ESP32 hardware demo.</t>
        </is>
      </c>
      <c r="D15" s="276" t="inlineStr">
        <is>
          <t>Completed - hardware demo validated</t>
        </is>
      </c>
      <c r="E15" s="275" t="inlineStr">
        <is>
          <t>Android phones paired with PUP-MANET-NODE_A/B; terminal/screenshot evidence showed Bluetooth messages entering ESP32 and crossing LoRa during Step 023 demo.</t>
        </is>
      </c>
      <c r="F15" s="275" t="inlineStr">
        <is>
          <t>User + Codex</t>
        </is>
      </c>
      <c r="G15" s="275" t="inlineStr">
        <is>
          <t>Proceed to Step 7.3 network selection.</t>
        </is>
      </c>
      <c r="H15" s="275" t="inlineStr">
        <is>
          <t>No new Android code changes or hardware retest performed in this documentation step.</t>
        </is>
      </c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75" t="inlineStr">
        <is>
          <t>2026-05-13</t>
        </is>
      </c>
      <c r="B16" s="276" t="inlineStr">
        <is>
          <t>7.3 / STEP 033</t>
        </is>
      </c>
      <c r="C16" s="275" t="inlineStr">
        <is>
          <t>Validated existing Android Auto/LoRa/WiFi/GSM network selection UI and routing state.</t>
        </is>
      </c>
      <c r="D16" s="276" t="inlineStr">
        <is>
          <t>Completed - build validated</t>
        </is>
      </c>
      <c r="E16" s="275" t="inlineStr">
        <is>
          <t>MainActivity.kt contains NetworkMode and NetworkSelector; JAVA_HOME="/Applications/Android Studio.app/Contents/jbr/Contents/Home" ./gradlew :app:assembleDebug succeeded.</t>
        </is>
      </c>
      <c r="F16" s="275" t="inlineStr">
        <is>
          <t>Codex</t>
        </is>
      </c>
      <c r="G16" s="275" t="inlineStr">
        <is>
          <t>Proceed to next workbook step.</t>
        </is>
      </c>
      <c r="H16" s="275" t="inlineStr">
        <is>
          <t>No Android source changes were required.</t>
        </is>
      </c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10" customWidth="1" style="51" min="3" max="3"/>
    <col width="36" customWidth="1" style="51" min="4" max="4"/>
    <col width="42" customWidth="1" style="51" min="5" max="5"/>
    <col width="36" customWidth="1" style="51" min="6" max="6"/>
    <col width="42" customWidth="1" style="51" min="7" max="7"/>
    <col width="14" customWidth="1" style="51" min="8" max="8"/>
    <col width="36" customWidth="1" style="51" min="9" max="9"/>
  </cols>
  <sheetData>
    <row r="1">
      <c r="A1" s="44" t="inlineStr">
        <is>
          <t>Issue / Troubleshooting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Issue ID</t>
        </is>
      </c>
      <c r="B3" s="42" t="inlineStr">
        <is>
          <t>Date</t>
        </is>
      </c>
      <c r="C3" s="42" t="inlineStr">
        <is>
          <t>Step ID</t>
        </is>
      </c>
      <c r="D3" s="42" t="inlineStr">
        <is>
          <t>Problem</t>
        </is>
      </c>
      <c r="E3" s="42" t="inlineStr">
        <is>
          <t>Error / Symptom</t>
        </is>
      </c>
      <c r="F3" s="42" t="inlineStr">
        <is>
          <t>Root Cause</t>
        </is>
      </c>
      <c r="G3" s="42" t="inlineStr">
        <is>
          <t>Fix Applied</t>
        </is>
      </c>
      <c r="H3" s="42" t="inlineStr">
        <is>
          <t>Status</t>
        </is>
      </c>
      <c r="I3" s="42" t="inlineStr">
        <is>
          <t>Notes</t>
        </is>
      </c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n"/>
      <c r="B4" s="258" t="n"/>
      <c r="C4" s="258" t="n"/>
      <c r="D4" s="258" t="n"/>
      <c r="E4" s="258" t="n"/>
      <c r="F4" s="258" t="n"/>
      <c r="G4" s="258" t="n"/>
      <c r="H4" s="258" t="n"/>
      <c r="I4" s="258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n"/>
      <c r="B5" s="258" t="n"/>
      <c r="C5" s="258" t="n"/>
      <c r="D5" s="258" t="n"/>
      <c r="E5" s="258" t="n"/>
      <c r="F5" s="258" t="n"/>
      <c r="G5" s="258" t="n"/>
      <c r="H5" s="258" t="n"/>
      <c r="I5" s="258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n"/>
      <c r="B6" s="258" t="n"/>
      <c r="C6" s="258" t="n"/>
      <c r="D6" s="258" t="n"/>
      <c r="E6" s="258" t="n"/>
      <c r="F6" s="258" t="n"/>
      <c r="G6" s="258" t="n"/>
      <c r="H6" s="258" t="n"/>
      <c r="I6" s="258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n"/>
      <c r="B7" s="258" t="n"/>
      <c r="C7" s="258" t="n"/>
      <c r="D7" s="258" t="n"/>
      <c r="E7" s="258" t="n"/>
      <c r="F7" s="258" t="n"/>
      <c r="G7" s="258" t="n"/>
      <c r="H7" s="258" t="n"/>
      <c r="I7" s="258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58" t="n"/>
      <c r="C8" s="258" t="n"/>
      <c r="D8" s="258" t="n"/>
      <c r="E8" s="258" t="n"/>
      <c r="F8" s="258" t="n"/>
      <c r="G8" s="258" t="n"/>
      <c r="H8" s="258" t="n"/>
      <c r="I8" s="258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8" t="n"/>
      <c r="B9" s="258" t="n"/>
      <c r="C9" s="258" t="n"/>
      <c r="D9" s="258" t="n"/>
      <c r="E9" s="258" t="n"/>
      <c r="F9" s="258" t="n"/>
      <c r="G9" s="258" t="n"/>
      <c r="H9" s="258" t="n"/>
      <c r="I9" s="258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n"/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  <c r="I11" s="258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8" t="n"/>
      <c r="B81" s="258" t="n"/>
      <c r="C81" s="258" t="n"/>
      <c r="D81" s="258" t="n"/>
      <c r="E81" s="258" t="n"/>
      <c r="F81" s="258" t="n"/>
      <c r="G81" s="258" t="n"/>
      <c r="H81" s="258" t="n"/>
      <c r="I81" s="258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8" t="n"/>
      <c r="B82" s="258" t="n"/>
      <c r="C82" s="258" t="n"/>
      <c r="D82" s="258" t="n"/>
      <c r="E82" s="258" t="n"/>
      <c r="F82" s="258" t="n"/>
      <c r="G82" s="258" t="n"/>
      <c r="H82" s="258" t="n"/>
      <c r="I82" s="258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8" t="n"/>
      <c r="B83" s="258" t="n"/>
      <c r="C83" s="258" t="n"/>
      <c r="D83" s="258" t="n"/>
      <c r="E83" s="258" t="n"/>
      <c r="F83" s="258" t="n"/>
      <c r="G83" s="258" t="n"/>
      <c r="H83" s="258" t="n"/>
      <c r="I83" s="258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8" t="n"/>
      <c r="B84" s="258" t="n"/>
      <c r="C84" s="258" t="n"/>
      <c r="D84" s="258" t="n"/>
      <c r="E84" s="258" t="n"/>
      <c r="F84" s="258" t="n"/>
      <c r="G84" s="258" t="n"/>
      <c r="H84" s="258" t="n"/>
      <c r="I84" s="258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8" t="n"/>
      <c r="B85" s="258" t="n"/>
      <c r="C85" s="258" t="n"/>
      <c r="D85" s="258" t="n"/>
      <c r="E85" s="258" t="n"/>
      <c r="F85" s="258" t="n"/>
      <c r="G85" s="258" t="n"/>
      <c r="H85" s="258" t="n"/>
      <c r="I85" s="258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8" t="n"/>
      <c r="B86" s="258" t="n"/>
      <c r="C86" s="258" t="n"/>
      <c r="D86" s="258" t="n"/>
      <c r="E86" s="258" t="n"/>
      <c r="F86" s="258" t="n"/>
      <c r="G86" s="258" t="n"/>
      <c r="H86" s="258" t="n"/>
      <c r="I86" s="258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8" t="n"/>
      <c r="B87" s="258" t="n"/>
      <c r="C87" s="258" t="n"/>
      <c r="D87" s="258" t="n"/>
      <c r="E87" s="258" t="n"/>
      <c r="F87" s="258" t="n"/>
      <c r="G87" s="258" t="n"/>
      <c r="H87" s="258" t="n"/>
      <c r="I87" s="258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8" t="n"/>
      <c r="B88" s="258" t="n"/>
      <c r="C88" s="258" t="n"/>
      <c r="D88" s="258" t="n"/>
      <c r="E88" s="258" t="n"/>
      <c r="F88" s="258" t="n"/>
      <c r="G88" s="258" t="n"/>
      <c r="H88" s="258" t="n"/>
      <c r="I88" s="258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8" t="n"/>
      <c r="B89" s="258" t="n"/>
      <c r="C89" s="258" t="n"/>
      <c r="D89" s="258" t="n"/>
      <c r="E89" s="258" t="n"/>
      <c r="F89" s="258" t="n"/>
      <c r="G89" s="258" t="n"/>
      <c r="H89" s="258" t="n"/>
      <c r="I89" s="258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8" t="n"/>
      <c r="B90" s="258" t="n"/>
      <c r="C90" s="258" t="n"/>
      <c r="D90" s="258" t="n"/>
      <c r="E90" s="258" t="n"/>
      <c r="F90" s="258" t="n"/>
      <c r="G90" s="258" t="n"/>
      <c r="H90" s="258" t="n"/>
      <c r="I90" s="258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8" t="n"/>
      <c r="B91" s="258" t="n"/>
      <c r="C91" s="258" t="n"/>
      <c r="D91" s="258" t="n"/>
      <c r="E91" s="258" t="n"/>
      <c r="F91" s="258" t="n"/>
      <c r="G91" s="258" t="n"/>
      <c r="H91" s="258" t="n"/>
      <c r="I91" s="258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8" t="n"/>
      <c r="B92" s="258" t="n"/>
      <c r="C92" s="258" t="n"/>
      <c r="D92" s="258" t="n"/>
      <c r="E92" s="258" t="n"/>
      <c r="F92" s="258" t="n"/>
      <c r="G92" s="258" t="n"/>
      <c r="H92" s="258" t="n"/>
      <c r="I92" s="258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8" t="n"/>
      <c r="B93" s="258" t="n"/>
      <c r="C93" s="258" t="n"/>
      <c r="D93" s="258" t="n"/>
      <c r="E93" s="258" t="n"/>
      <c r="F93" s="258" t="n"/>
      <c r="G93" s="258" t="n"/>
      <c r="H93" s="258" t="n"/>
      <c r="I93" s="258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8" t="n"/>
      <c r="B94" s="258" t="n"/>
      <c r="C94" s="258" t="n"/>
      <c r="D94" s="258" t="n"/>
      <c r="E94" s="258" t="n"/>
      <c r="F94" s="258" t="n"/>
      <c r="G94" s="258" t="n"/>
      <c r="H94" s="258" t="n"/>
      <c r="I94" s="258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8" t="n"/>
      <c r="B95" s="258" t="n"/>
      <c r="C95" s="258" t="n"/>
      <c r="D95" s="258" t="n"/>
      <c r="E95" s="258" t="n"/>
      <c r="F95" s="258" t="n"/>
      <c r="G95" s="258" t="n"/>
      <c r="H95" s="258" t="n"/>
      <c r="I95" s="258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8" t="n"/>
      <c r="B96" s="258" t="n"/>
      <c r="C96" s="258" t="n"/>
      <c r="D96" s="258" t="n"/>
      <c r="E96" s="258" t="n"/>
      <c r="F96" s="258" t="n"/>
      <c r="G96" s="258" t="n"/>
      <c r="H96" s="258" t="n"/>
      <c r="I96" s="258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8" t="n"/>
      <c r="B97" s="258" t="n"/>
      <c r="C97" s="258" t="n"/>
      <c r="D97" s="258" t="n"/>
      <c r="E97" s="258" t="n"/>
      <c r="F97" s="258" t="n"/>
      <c r="G97" s="258" t="n"/>
      <c r="H97" s="258" t="n"/>
      <c r="I97" s="258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8" t="n"/>
      <c r="B98" s="258" t="n"/>
      <c r="C98" s="258" t="n"/>
      <c r="D98" s="258" t="n"/>
      <c r="E98" s="258" t="n"/>
      <c r="F98" s="258" t="n"/>
      <c r="G98" s="258" t="n"/>
      <c r="H98" s="258" t="n"/>
      <c r="I98" s="258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8" t="n"/>
      <c r="B99" s="258" t="n"/>
      <c r="C99" s="258" t="n"/>
      <c r="D99" s="258" t="n"/>
      <c r="E99" s="258" t="n"/>
      <c r="F99" s="258" t="n"/>
      <c r="G99" s="258" t="n"/>
      <c r="H99" s="258" t="n"/>
      <c r="I99" s="258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8" t="n"/>
      <c r="B100" s="258" t="n"/>
      <c r="C100" s="258" t="n"/>
      <c r="D100" s="258" t="n"/>
      <c r="E100" s="258" t="n"/>
      <c r="F100" s="258" t="n"/>
      <c r="G100" s="258" t="n"/>
      <c r="H100" s="258" t="n"/>
      <c r="I100" s="258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I1"/>
  </mergeCells>
  <dataValidations count="1">
    <dataValidation sqref="H4:H100" showDropDown="0" showInputMessage="0" showErrorMessage="0" allowBlank="0" type="list">
      <formula1>"Open,In Progress,Resolved,Deferred"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2" customWidth="1" style="51" min="1" max="1"/>
    <col width="14" customWidth="1" style="51" min="2" max="2"/>
    <col width="38" customWidth="1" style="51" min="3" max="3"/>
    <col width="42" customWidth="1" style="51" min="4" max="4"/>
    <col width="34" customWidth="1" style="51" min="5" max="5"/>
    <col width="36" customWidth="1" style="51" min="6" max="6"/>
    <col width="16" customWidth="1" style="51" min="7" max="7"/>
    <col width="36" customWidth="1" style="51" min="8" max="8"/>
  </cols>
  <sheetData>
    <row r="1">
      <c r="A1" s="44" t="inlineStr">
        <is>
          <t>Design Decision Log</t>
        </is>
      </c>
      <c r="B1" s="1" t="n"/>
      <c r="C1" s="1" t="n"/>
      <c r="D1" s="1" t="n"/>
      <c r="E1" s="1" t="n"/>
      <c r="F1" s="1" t="n"/>
      <c r="G1" s="1" t="n"/>
      <c r="H1" s="1" t="n"/>
      <c r="I1" s="257" t="n"/>
      <c r="J1" s="257" t="n"/>
      <c r="K1" s="257" t="n"/>
      <c r="L1" s="257" t="n"/>
      <c r="M1" s="257" t="n"/>
      <c r="N1" s="257" t="n"/>
      <c r="O1" s="257" t="n"/>
      <c r="P1" s="257" t="n"/>
      <c r="Q1" s="257" t="n"/>
      <c r="R1" s="257" t="n"/>
      <c r="S1" s="257" t="n"/>
      <c r="T1" s="257" t="n"/>
      <c r="U1" s="257" t="n"/>
      <c r="V1" s="257" t="n"/>
      <c r="W1" s="257" t="n"/>
      <c r="X1" s="257" t="n"/>
      <c r="Y1" s="257" t="n"/>
      <c r="Z1" s="257" t="n"/>
    </row>
    <row r="2">
      <c r="A2" s="257" t="n"/>
      <c r="B2" s="257" t="n"/>
      <c r="C2" s="257" t="n"/>
      <c r="D2" s="257" t="n"/>
      <c r="E2" s="257" t="n"/>
      <c r="F2" s="257" t="n"/>
      <c r="G2" s="257" t="n"/>
      <c r="H2" s="257" t="n"/>
      <c r="I2" s="257" t="n"/>
      <c r="J2" s="257" t="n"/>
      <c r="K2" s="257" t="n"/>
      <c r="L2" s="257" t="n"/>
      <c r="M2" s="257" t="n"/>
      <c r="N2" s="257" t="n"/>
      <c r="O2" s="257" t="n"/>
      <c r="P2" s="257" t="n"/>
      <c r="Q2" s="257" t="n"/>
      <c r="R2" s="257" t="n"/>
      <c r="S2" s="257" t="n"/>
      <c r="T2" s="257" t="n"/>
      <c r="U2" s="257" t="n"/>
      <c r="V2" s="257" t="n"/>
      <c r="W2" s="257" t="n"/>
      <c r="X2" s="257" t="n"/>
      <c r="Y2" s="257" t="n"/>
      <c r="Z2" s="257" t="n"/>
    </row>
    <row r="3">
      <c r="A3" s="42" t="inlineStr">
        <is>
          <t>Decision ID</t>
        </is>
      </c>
      <c r="B3" s="42" t="inlineStr">
        <is>
          <t>Date</t>
        </is>
      </c>
      <c r="C3" s="42" t="inlineStr">
        <is>
          <t>Decision</t>
        </is>
      </c>
      <c r="D3" s="42" t="inlineStr">
        <is>
          <t>Reason</t>
        </is>
      </c>
      <c r="E3" s="42" t="inlineStr">
        <is>
          <t>Alternatives Considered</t>
        </is>
      </c>
      <c r="F3" s="42" t="inlineStr">
        <is>
          <t>Impact</t>
        </is>
      </c>
      <c r="G3" s="42" t="inlineStr">
        <is>
          <t>Status</t>
        </is>
      </c>
      <c r="H3" s="42" t="inlineStr">
        <is>
          <t>Notes</t>
        </is>
      </c>
      <c r="I3" s="257" t="n"/>
      <c r="J3" s="257" t="n"/>
      <c r="K3" s="257" t="n"/>
      <c r="L3" s="257" t="n"/>
      <c r="M3" s="257" t="n"/>
      <c r="N3" s="257" t="n"/>
      <c r="O3" s="257" t="n"/>
      <c r="P3" s="257" t="n"/>
      <c r="Q3" s="257" t="n"/>
      <c r="R3" s="257" t="n"/>
      <c r="S3" s="257" t="n"/>
      <c r="T3" s="257" t="n"/>
      <c r="U3" s="257" t="n"/>
      <c r="V3" s="257" t="n"/>
      <c r="W3" s="257" t="n"/>
      <c r="X3" s="257" t="n"/>
      <c r="Y3" s="257" t="n"/>
      <c r="Z3" s="257" t="n"/>
    </row>
    <row r="4">
      <c r="A4" s="258" t="inlineStr">
        <is>
          <t>D1</t>
        </is>
      </c>
      <c r="B4" s="266" t="n">
        <v>46146</v>
      </c>
      <c r="C4" s="258" t="inlineStr">
        <is>
          <t>Use simulation-first workflow</t>
        </is>
      </c>
      <c r="D4" s="258" t="inlineStr">
        <is>
          <t>User has physical nodes but wants to start with simulation</t>
        </is>
      </c>
      <c r="E4" s="258" t="inlineStr">
        <is>
          <t>Hardware-first development</t>
        </is>
      </c>
      <c r="F4" s="258" t="inlineStr">
        <is>
          <t>Reduces debugging risk</t>
        </is>
      </c>
      <c r="G4" s="258" t="inlineStr">
        <is>
          <t>Accepted</t>
        </is>
      </c>
      <c r="H4" s="258" t="str"/>
      <c r="I4" s="257" t="n"/>
      <c r="J4" s="257" t="n"/>
      <c r="K4" s="257" t="n"/>
      <c r="L4" s="257" t="n"/>
      <c r="M4" s="257" t="n"/>
      <c r="N4" s="257" t="n"/>
      <c r="O4" s="257" t="n"/>
      <c r="P4" s="257" t="n"/>
      <c r="Q4" s="257" t="n"/>
      <c r="R4" s="257" t="n"/>
      <c r="S4" s="257" t="n"/>
      <c r="T4" s="257" t="n"/>
      <c r="U4" s="257" t="n"/>
      <c r="V4" s="257" t="n"/>
      <c r="W4" s="257" t="n"/>
      <c r="X4" s="257" t="n"/>
      <c r="Y4" s="257" t="n"/>
      <c r="Z4" s="257" t="n"/>
    </row>
    <row r="5">
      <c r="A5" s="258" t="inlineStr">
        <is>
          <t>D2</t>
        </is>
      </c>
      <c r="B5" s="266" t="n">
        <v>46146</v>
      </c>
      <c r="C5" s="258" t="inlineStr">
        <is>
          <t>Start with controlled reliable mesh instead of full AODV</t>
        </is>
      </c>
      <c r="D5" s="258" t="inlineStr">
        <is>
          <t>AODV on LoRa ESP32 is complex and hard to debug initially</t>
        </is>
      </c>
      <c r="E5" s="258" t="inlineStr">
        <is>
          <t>Full AODV immediately</t>
        </is>
      </c>
      <c r="F5" s="258" t="inlineStr">
        <is>
          <t>Faster prototype; can evolve later</t>
        </is>
      </c>
      <c r="G5" s="258" t="inlineStr">
        <is>
          <t>Recommended</t>
        </is>
      </c>
      <c r="H5" s="258" t="str"/>
      <c r="I5" s="257" t="n"/>
      <c r="J5" s="257" t="n"/>
      <c r="K5" s="257" t="n"/>
      <c r="L5" s="257" t="n"/>
      <c r="M5" s="257" t="n"/>
      <c r="N5" s="257" t="n"/>
      <c r="O5" s="257" t="n"/>
      <c r="P5" s="257" t="n"/>
      <c r="Q5" s="257" t="n"/>
      <c r="R5" s="257" t="n"/>
      <c r="S5" s="257" t="n"/>
      <c r="T5" s="257" t="n"/>
      <c r="U5" s="257" t="n"/>
      <c r="V5" s="257" t="n"/>
      <c r="W5" s="257" t="n"/>
      <c r="X5" s="257" t="n"/>
      <c r="Y5" s="257" t="n"/>
      <c r="Z5" s="257" t="n"/>
    </row>
    <row r="6">
      <c r="A6" s="258" t="inlineStr">
        <is>
          <t>D3</t>
        </is>
      </c>
      <c r="B6" s="266" t="n">
        <v>46146</v>
      </c>
      <c r="C6" s="258" t="inlineStr">
        <is>
          <t>If destination is not local, route to next network via gateway</t>
        </is>
      </c>
      <c r="D6" s="258" t="inlineStr">
        <is>
          <t>User requirement</t>
        </is>
      </c>
      <c r="E6" s="258" t="inlineStr">
        <is>
          <t>Drop unknown destinations</t>
        </is>
      </c>
      <c r="F6" s="258" t="inlineStr">
        <is>
          <t>Enables Network A to B messaging</t>
        </is>
      </c>
      <c r="G6" s="258" t="inlineStr">
        <is>
          <t>Accepted</t>
        </is>
      </c>
      <c r="H6" s="258" t="str"/>
      <c r="I6" s="257" t="n"/>
      <c r="J6" s="257" t="n"/>
      <c r="K6" s="257" t="n"/>
      <c r="L6" s="257" t="n"/>
      <c r="M6" s="257" t="n"/>
      <c r="N6" s="257" t="n"/>
      <c r="O6" s="257" t="n"/>
      <c r="P6" s="257" t="n"/>
      <c r="Q6" s="257" t="n"/>
      <c r="R6" s="257" t="n"/>
      <c r="S6" s="257" t="n"/>
      <c r="T6" s="257" t="n"/>
      <c r="U6" s="257" t="n"/>
      <c r="V6" s="257" t="n"/>
      <c r="W6" s="257" t="n"/>
      <c r="X6" s="257" t="n"/>
      <c r="Y6" s="257" t="n"/>
      <c r="Z6" s="257" t="n"/>
    </row>
    <row r="7">
      <c r="A7" s="258" t="inlineStr">
        <is>
          <t>D4</t>
        </is>
      </c>
      <c r="B7" s="266" t="n">
        <v>46146</v>
      </c>
      <c r="C7" s="258" t="inlineStr">
        <is>
          <t>Develop ESP32 code, then Raspberry Pi gateway, then Android app</t>
        </is>
      </c>
      <c r="D7" s="258" t="inlineStr">
        <is>
          <t>User requested order</t>
        </is>
      </c>
      <c r="E7" s="258" t="inlineStr">
        <is>
          <t>Android first</t>
        </is>
      </c>
      <c r="F7" s="258" t="inlineStr">
        <is>
          <t>Ensures app integrates with stable backend</t>
        </is>
      </c>
      <c r="G7" s="258" t="inlineStr">
        <is>
          <t>Accepted</t>
        </is>
      </c>
      <c r="H7" s="258" t="str"/>
      <c r="I7" s="257" t="n"/>
      <c r="J7" s="257" t="n"/>
      <c r="K7" s="257" t="n"/>
      <c r="L7" s="257" t="n"/>
      <c r="M7" s="257" t="n"/>
      <c r="N7" s="257" t="n"/>
      <c r="O7" s="257" t="n"/>
      <c r="P7" s="257" t="n"/>
      <c r="Q7" s="257" t="n"/>
      <c r="R7" s="257" t="n"/>
      <c r="S7" s="257" t="n"/>
      <c r="T7" s="257" t="n"/>
      <c r="U7" s="257" t="n"/>
      <c r="V7" s="257" t="n"/>
      <c r="W7" s="257" t="n"/>
      <c r="X7" s="257" t="n"/>
      <c r="Y7" s="257" t="n"/>
      <c r="Z7" s="257" t="n"/>
    </row>
    <row r="8">
      <c r="A8" s="258" t="n"/>
      <c r="B8" s="266" t="n"/>
      <c r="C8" s="258" t="n"/>
      <c r="D8" s="258" t="n"/>
      <c r="E8" s="258" t="n"/>
      <c r="F8" s="258" t="n"/>
      <c r="G8" s="258" t="n"/>
      <c r="H8" s="258" t="n"/>
      <c r="I8" s="257" t="n"/>
      <c r="J8" s="257" t="n"/>
      <c r="K8" s="257" t="n"/>
      <c r="L8" s="257" t="n"/>
      <c r="M8" s="257" t="n"/>
      <c r="N8" s="257" t="n"/>
      <c r="O8" s="257" t="n"/>
      <c r="P8" s="257" t="n"/>
      <c r="Q8" s="257" t="n"/>
      <c r="R8" s="257" t="n"/>
      <c r="S8" s="257" t="n"/>
      <c r="T8" s="257" t="n"/>
      <c r="U8" s="257" t="n"/>
      <c r="V8" s="257" t="n"/>
      <c r="W8" s="257" t="n"/>
      <c r="X8" s="257" t="n"/>
      <c r="Y8" s="257" t="n"/>
      <c r="Z8" s="257" t="n"/>
    </row>
    <row r="9">
      <c r="A9" s="257" t="n"/>
      <c r="B9" s="257" t="n"/>
      <c r="C9" s="257" t="n"/>
      <c r="D9" s="257" t="n"/>
      <c r="E9" s="257" t="n"/>
      <c r="F9" s="257" t="n"/>
      <c r="G9" s="257" t="n"/>
      <c r="H9" s="257" t="n"/>
      <c r="I9" s="257" t="n"/>
      <c r="J9" s="257" t="n"/>
      <c r="K9" s="257" t="n"/>
      <c r="L9" s="257" t="n"/>
      <c r="M9" s="257" t="n"/>
      <c r="N9" s="257" t="n"/>
      <c r="O9" s="257" t="n"/>
      <c r="P9" s="257" t="n"/>
      <c r="Q9" s="257" t="n"/>
      <c r="R9" s="257" t="n"/>
      <c r="S9" s="257" t="n"/>
      <c r="T9" s="257" t="n"/>
      <c r="U9" s="257" t="n"/>
      <c r="V9" s="257" t="n"/>
      <c r="W9" s="257" t="n"/>
      <c r="X9" s="257" t="n"/>
      <c r="Y9" s="257" t="n"/>
      <c r="Z9" s="257" t="n"/>
    </row>
    <row r="10">
      <c r="A10" s="258" t="inlineStr">
        <is>
          <t>2026-05-05</t>
        </is>
      </c>
      <c r="B10" s="258" t="inlineStr">
        <is>
          <t>Development workflow</t>
        </is>
      </c>
      <c r="C10" s="258" t="inlineStr">
        <is>
          <t>Use Codex Web + GitHub as primary and Codex CLI on Mac as secondary. VS Code optional only.</t>
        </is>
      </c>
      <c r="D10" s="258" t="inlineStr">
        <is>
          <t>User confirmed Codex installed on MacBook Pro M1 Max and wants no VS Code dependency.</t>
        </is>
      </c>
      <c r="E10" s="258" t="inlineStr">
        <is>
          <t>Accepted</t>
        </is>
      </c>
      <c r="F10" s="258" t="inlineStr">
        <is>
          <t>Marvin/Project</t>
        </is>
      </c>
      <c r="G10" s="258" t="inlineStr">
        <is>
          <t>Implementation workbook updated</t>
        </is>
      </c>
      <c r="H10" s="258" t="inlineStr">
        <is>
          <t>Proceed to GitHub repo setup</t>
        </is>
      </c>
      <c r="I10" s="257" t="n"/>
      <c r="J10" s="257" t="n"/>
      <c r="K10" s="257" t="n"/>
      <c r="L10" s="257" t="n"/>
      <c r="M10" s="257" t="n"/>
      <c r="N10" s="257" t="n"/>
      <c r="O10" s="257" t="n"/>
      <c r="P10" s="257" t="n"/>
      <c r="Q10" s="257" t="n"/>
      <c r="R10" s="257" t="n"/>
      <c r="S10" s="257" t="n"/>
      <c r="T10" s="257" t="n"/>
      <c r="U10" s="257" t="n"/>
      <c r="V10" s="257" t="n"/>
      <c r="W10" s="257" t="n"/>
      <c r="X10" s="257" t="n"/>
      <c r="Y10" s="257" t="n"/>
      <c r="Z10" s="257" t="n"/>
    </row>
    <row r="11">
      <c r="A11" s="257" t="n"/>
      <c r="B11" s="257" t="n"/>
      <c r="C11" s="257" t="n"/>
      <c r="D11" s="257" t="n"/>
      <c r="E11" s="257" t="n"/>
      <c r="F11" s="257" t="n"/>
      <c r="G11" s="257" t="n"/>
      <c r="H11" s="257" t="n"/>
      <c r="I11" s="257" t="n"/>
      <c r="J11" s="257" t="n"/>
      <c r="K11" s="257" t="n"/>
      <c r="L11" s="257" t="n"/>
      <c r="M11" s="257" t="n"/>
      <c r="N11" s="257" t="n"/>
      <c r="O11" s="257" t="n"/>
      <c r="P11" s="257" t="n"/>
      <c r="Q11" s="257" t="n"/>
      <c r="R11" s="257" t="n"/>
      <c r="S11" s="257" t="n"/>
      <c r="T11" s="257" t="n"/>
      <c r="U11" s="257" t="n"/>
      <c r="V11" s="257" t="n"/>
      <c r="W11" s="257" t="n"/>
      <c r="X11" s="257" t="n"/>
      <c r="Y11" s="257" t="n"/>
      <c r="Z11" s="257" t="n"/>
    </row>
    <row r="12">
      <c r="A12" s="257" t="n"/>
      <c r="B12" s="257" t="n"/>
      <c r="C12" s="257" t="n"/>
      <c r="D12" s="257" t="n"/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7" t="n"/>
      <c r="V12" s="257" t="n"/>
      <c r="W12" s="257" t="n"/>
      <c r="X12" s="257" t="n"/>
      <c r="Y12" s="257" t="n"/>
      <c r="Z12" s="257" t="n"/>
    </row>
    <row r="13">
      <c r="A13" s="257" t="n"/>
      <c r="B13" s="257" t="n"/>
      <c r="C13" s="257" t="n"/>
      <c r="D13" s="257" t="n"/>
      <c r="E13" s="257" t="n"/>
      <c r="F13" s="257" t="n"/>
      <c r="G13" s="257" t="n"/>
      <c r="H13" s="257" t="n"/>
      <c r="I13" s="257" t="n"/>
      <c r="J13" s="257" t="n"/>
      <c r="K13" s="257" t="n"/>
      <c r="L13" s="257" t="n"/>
      <c r="M13" s="257" t="n"/>
      <c r="N13" s="257" t="n"/>
      <c r="O13" s="257" t="n"/>
      <c r="P13" s="257" t="n"/>
      <c r="Q13" s="257" t="n"/>
      <c r="R13" s="257" t="n"/>
      <c r="S13" s="257" t="n"/>
      <c r="T13" s="257" t="n"/>
      <c r="U13" s="257" t="n"/>
      <c r="V13" s="257" t="n"/>
      <c r="W13" s="257" t="n"/>
      <c r="X13" s="257" t="n"/>
      <c r="Y13" s="257" t="n"/>
      <c r="Z13" s="257" t="n"/>
    </row>
    <row r="14">
      <c r="A14" s="257" t="n"/>
      <c r="B14" s="257" t="n"/>
      <c r="C14" s="257" t="n"/>
      <c r="D14" s="257" t="n"/>
      <c r="E14" s="257" t="n"/>
      <c r="F14" s="257" t="n"/>
      <c r="G14" s="257" t="n"/>
      <c r="H14" s="257" t="n"/>
      <c r="I14" s="257" t="n"/>
      <c r="J14" s="257" t="n"/>
      <c r="K14" s="257" t="n"/>
      <c r="L14" s="257" t="n"/>
      <c r="M14" s="257" t="n"/>
      <c r="N14" s="257" t="n"/>
      <c r="O14" s="257" t="n"/>
      <c r="P14" s="257" t="n"/>
      <c r="Q14" s="257" t="n"/>
      <c r="R14" s="257" t="n"/>
      <c r="S14" s="257" t="n"/>
      <c r="T14" s="257" t="n"/>
      <c r="U14" s="257" t="n"/>
      <c r="V14" s="257" t="n"/>
      <c r="W14" s="257" t="n"/>
      <c r="X14" s="257" t="n"/>
      <c r="Y14" s="257" t="n"/>
      <c r="Z14" s="257" t="n"/>
    </row>
    <row r="15">
      <c r="A15" s="257" t="n"/>
      <c r="B15" s="257" t="n"/>
      <c r="C15" s="257" t="n"/>
      <c r="D15" s="257" t="n"/>
      <c r="E15" s="257" t="n"/>
      <c r="F15" s="257" t="n"/>
      <c r="G15" s="257" t="n"/>
      <c r="H15" s="257" t="n"/>
      <c r="I15" s="257" t="n"/>
      <c r="J15" s="257" t="n"/>
      <c r="K15" s="257" t="n"/>
      <c r="L15" s="257" t="n"/>
      <c r="M15" s="257" t="n"/>
      <c r="N15" s="257" t="n"/>
      <c r="O15" s="257" t="n"/>
      <c r="P15" s="257" t="n"/>
      <c r="Q15" s="257" t="n"/>
      <c r="R15" s="257" t="n"/>
      <c r="S15" s="257" t="n"/>
      <c r="T15" s="257" t="n"/>
      <c r="U15" s="257" t="n"/>
      <c r="V15" s="257" t="n"/>
      <c r="W15" s="257" t="n"/>
      <c r="X15" s="257" t="n"/>
      <c r="Y15" s="257" t="n"/>
      <c r="Z15" s="257" t="n"/>
    </row>
    <row r="16">
      <c r="A16" s="257" t="n"/>
      <c r="B16" s="257" t="n"/>
      <c r="C16" s="257" t="n"/>
      <c r="D16" s="257" t="n"/>
      <c r="E16" s="257" t="n"/>
      <c r="F16" s="257" t="n"/>
      <c r="G16" s="257" t="n"/>
      <c r="H16" s="257" t="n"/>
      <c r="I16" s="257" t="n"/>
      <c r="J16" s="257" t="n"/>
      <c r="K16" s="257" t="n"/>
      <c r="L16" s="257" t="n"/>
      <c r="M16" s="257" t="n"/>
      <c r="N16" s="257" t="n"/>
      <c r="O16" s="257" t="n"/>
      <c r="P16" s="257" t="n"/>
      <c r="Q16" s="257" t="n"/>
      <c r="R16" s="257" t="n"/>
      <c r="S16" s="257" t="n"/>
      <c r="T16" s="257" t="n"/>
      <c r="U16" s="257" t="n"/>
      <c r="V16" s="257" t="n"/>
      <c r="W16" s="257" t="n"/>
      <c r="X16" s="257" t="n"/>
      <c r="Y16" s="257" t="n"/>
      <c r="Z16" s="257" t="n"/>
    </row>
    <row r="17">
      <c r="A17" s="257" t="n"/>
      <c r="B17" s="257" t="n"/>
      <c r="C17" s="257" t="n"/>
      <c r="D17" s="257" t="n"/>
      <c r="E17" s="257" t="n"/>
      <c r="F17" s="257" t="n"/>
      <c r="G17" s="257" t="n"/>
      <c r="H17" s="257" t="n"/>
      <c r="I17" s="257" t="n"/>
      <c r="J17" s="257" t="n"/>
      <c r="K17" s="257" t="n"/>
      <c r="L17" s="257" t="n"/>
      <c r="M17" s="257" t="n"/>
      <c r="N17" s="257" t="n"/>
      <c r="O17" s="257" t="n"/>
      <c r="P17" s="257" t="n"/>
      <c r="Q17" s="257" t="n"/>
      <c r="R17" s="257" t="n"/>
      <c r="S17" s="257" t="n"/>
      <c r="T17" s="257" t="n"/>
      <c r="U17" s="257" t="n"/>
      <c r="V17" s="257" t="n"/>
      <c r="W17" s="257" t="n"/>
      <c r="X17" s="257" t="n"/>
      <c r="Y17" s="257" t="n"/>
      <c r="Z17" s="257" t="n"/>
    </row>
    <row r="18">
      <c r="A18" s="257" t="n"/>
      <c r="B18" s="257" t="n"/>
      <c r="C18" s="257" t="n"/>
      <c r="D18" s="257" t="n"/>
      <c r="E18" s="257" t="n"/>
      <c r="F18" s="257" t="n"/>
      <c r="G18" s="257" t="n"/>
      <c r="H18" s="257" t="n"/>
      <c r="I18" s="257" t="n"/>
      <c r="J18" s="257" t="n"/>
      <c r="K18" s="257" t="n"/>
      <c r="L18" s="257" t="n"/>
      <c r="M18" s="257" t="n"/>
      <c r="N18" s="257" t="n"/>
      <c r="O18" s="257" t="n"/>
      <c r="P18" s="257" t="n"/>
      <c r="Q18" s="257" t="n"/>
      <c r="R18" s="257" t="n"/>
      <c r="S18" s="257" t="n"/>
      <c r="T18" s="257" t="n"/>
      <c r="U18" s="257" t="n"/>
      <c r="V18" s="257" t="n"/>
      <c r="W18" s="257" t="n"/>
      <c r="X18" s="257" t="n"/>
      <c r="Y18" s="257" t="n"/>
      <c r="Z18" s="257" t="n"/>
    </row>
    <row r="19">
      <c r="A19" s="257" t="n"/>
      <c r="B19" s="257" t="n"/>
      <c r="C19" s="257" t="n"/>
      <c r="D19" s="257" t="n"/>
      <c r="E19" s="257" t="n"/>
      <c r="F19" s="257" t="n"/>
      <c r="G19" s="257" t="n"/>
      <c r="H19" s="257" t="n"/>
      <c r="I19" s="257" t="n"/>
      <c r="J19" s="257" t="n"/>
      <c r="K19" s="257" t="n"/>
      <c r="L19" s="257" t="n"/>
      <c r="M19" s="257" t="n"/>
      <c r="N19" s="257" t="n"/>
      <c r="O19" s="257" t="n"/>
      <c r="P19" s="257" t="n"/>
      <c r="Q19" s="257" t="n"/>
      <c r="R19" s="257" t="n"/>
      <c r="S19" s="257" t="n"/>
      <c r="T19" s="257" t="n"/>
      <c r="U19" s="257" t="n"/>
      <c r="V19" s="257" t="n"/>
      <c r="W19" s="257" t="n"/>
      <c r="X19" s="257" t="n"/>
      <c r="Y19" s="257" t="n"/>
      <c r="Z19" s="257" t="n"/>
    </row>
    <row r="20">
      <c r="A20" s="257" t="n"/>
      <c r="B20" s="257" t="n"/>
      <c r="C20" s="257" t="n"/>
      <c r="D20" s="257" t="n"/>
      <c r="E20" s="257" t="n"/>
      <c r="F20" s="257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257" t="n"/>
      <c r="P20" s="257" t="n"/>
      <c r="Q20" s="257" t="n"/>
      <c r="R20" s="257" t="n"/>
      <c r="S20" s="257" t="n"/>
      <c r="T20" s="257" t="n"/>
      <c r="U20" s="257" t="n"/>
      <c r="V20" s="257" t="n"/>
      <c r="W20" s="257" t="n"/>
      <c r="X20" s="257" t="n"/>
      <c r="Y20" s="257" t="n"/>
      <c r="Z20" s="257" t="n"/>
    </row>
    <row r="21">
      <c r="A21" s="257" t="n"/>
      <c r="B21" s="257" t="n"/>
      <c r="C21" s="257" t="n"/>
      <c r="D21" s="257" t="n"/>
      <c r="E21" s="257" t="n"/>
      <c r="F21" s="257" t="n"/>
      <c r="G21" s="257" t="n"/>
      <c r="H21" s="257" t="n"/>
      <c r="I21" s="257" t="n"/>
      <c r="J21" s="257" t="n"/>
      <c r="K21" s="257" t="n"/>
      <c r="L21" s="257" t="n"/>
      <c r="M21" s="257" t="n"/>
      <c r="N21" s="257" t="n"/>
      <c r="O21" s="257" t="n"/>
      <c r="P21" s="257" t="n"/>
      <c r="Q21" s="257" t="n"/>
      <c r="R21" s="257" t="n"/>
      <c r="S21" s="257" t="n"/>
      <c r="T21" s="257" t="n"/>
      <c r="U21" s="257" t="n"/>
      <c r="V21" s="257" t="n"/>
      <c r="W21" s="257" t="n"/>
      <c r="X21" s="257" t="n"/>
      <c r="Y21" s="257" t="n"/>
      <c r="Z21" s="257" t="n"/>
    </row>
    <row r="22">
      <c r="A22" s="257" t="n"/>
      <c r="B22" s="257" t="n"/>
      <c r="C22" s="257" t="n"/>
      <c r="D22" s="257" t="n"/>
      <c r="E22" s="257" t="n"/>
      <c r="F22" s="257" t="n"/>
      <c r="G22" s="257" t="n"/>
      <c r="H22" s="257" t="n"/>
      <c r="I22" s="257" t="n"/>
      <c r="J22" s="257" t="n"/>
      <c r="K22" s="257" t="n"/>
      <c r="L22" s="257" t="n"/>
      <c r="M22" s="257" t="n"/>
      <c r="N22" s="257" t="n"/>
      <c r="O22" s="257" t="n"/>
      <c r="P22" s="257" t="n"/>
      <c r="Q22" s="257" t="n"/>
      <c r="R22" s="257" t="n"/>
      <c r="S22" s="257" t="n"/>
      <c r="T22" s="257" t="n"/>
      <c r="U22" s="257" t="n"/>
      <c r="V22" s="257" t="n"/>
      <c r="W22" s="257" t="n"/>
      <c r="X22" s="257" t="n"/>
      <c r="Y22" s="257" t="n"/>
      <c r="Z22" s="257" t="n"/>
    </row>
    <row r="23">
      <c r="A23" s="257" t="n"/>
      <c r="B23" s="257" t="n"/>
      <c r="C23" s="257" t="n"/>
      <c r="D23" s="257" t="n"/>
      <c r="E23" s="257" t="n"/>
      <c r="F23" s="257" t="n"/>
      <c r="G23" s="257" t="n"/>
      <c r="H23" s="257" t="n"/>
      <c r="I23" s="257" t="n"/>
      <c r="J23" s="257" t="n"/>
      <c r="K23" s="257" t="n"/>
      <c r="L23" s="257" t="n"/>
      <c r="M23" s="257" t="n"/>
      <c r="N23" s="257" t="n"/>
      <c r="O23" s="257" t="n"/>
      <c r="P23" s="257" t="n"/>
      <c r="Q23" s="257" t="n"/>
      <c r="R23" s="257" t="n"/>
      <c r="S23" s="257" t="n"/>
      <c r="T23" s="257" t="n"/>
      <c r="U23" s="257" t="n"/>
      <c r="V23" s="257" t="n"/>
      <c r="W23" s="257" t="n"/>
      <c r="X23" s="257" t="n"/>
      <c r="Y23" s="257" t="n"/>
      <c r="Z23" s="257" t="n"/>
    </row>
    <row r="24">
      <c r="A24" s="257" t="n"/>
      <c r="B24" s="257" t="n"/>
      <c r="C24" s="257" t="n"/>
      <c r="D24" s="257" t="n"/>
      <c r="E24" s="257" t="n"/>
      <c r="F24" s="257" t="n"/>
      <c r="G24" s="257" t="n"/>
      <c r="H24" s="257" t="n"/>
      <c r="I24" s="257" t="n"/>
      <c r="J24" s="257" t="n"/>
      <c r="K24" s="257" t="n"/>
      <c r="L24" s="257" t="n"/>
      <c r="M24" s="257" t="n"/>
      <c r="N24" s="257" t="n"/>
      <c r="O24" s="257" t="n"/>
      <c r="P24" s="257" t="n"/>
      <c r="Q24" s="257" t="n"/>
      <c r="R24" s="257" t="n"/>
      <c r="S24" s="257" t="n"/>
      <c r="T24" s="257" t="n"/>
      <c r="U24" s="257" t="n"/>
      <c r="V24" s="257" t="n"/>
      <c r="W24" s="257" t="n"/>
      <c r="X24" s="257" t="n"/>
      <c r="Y24" s="257" t="n"/>
      <c r="Z24" s="257" t="n"/>
    </row>
    <row r="25">
      <c r="A25" s="257" t="n"/>
      <c r="B25" s="257" t="n"/>
      <c r="C25" s="257" t="n"/>
      <c r="D25" s="257" t="n"/>
      <c r="E25" s="257" t="n"/>
      <c r="F25" s="257" t="n"/>
      <c r="G25" s="257" t="n"/>
      <c r="H25" s="257" t="n"/>
      <c r="I25" s="257" t="n"/>
      <c r="J25" s="257" t="n"/>
      <c r="K25" s="257" t="n"/>
      <c r="L25" s="257" t="n"/>
      <c r="M25" s="257" t="n"/>
      <c r="N25" s="257" t="n"/>
      <c r="O25" s="257" t="n"/>
      <c r="P25" s="257" t="n"/>
      <c r="Q25" s="257" t="n"/>
      <c r="R25" s="257" t="n"/>
      <c r="S25" s="257" t="n"/>
      <c r="T25" s="257" t="n"/>
      <c r="U25" s="257" t="n"/>
      <c r="V25" s="257" t="n"/>
      <c r="W25" s="257" t="n"/>
      <c r="X25" s="257" t="n"/>
      <c r="Y25" s="257" t="n"/>
      <c r="Z25" s="257" t="n"/>
    </row>
    <row r="26">
      <c r="A26" s="257" t="n"/>
      <c r="B26" s="257" t="n"/>
      <c r="C26" s="257" t="n"/>
      <c r="D26" s="257" t="n"/>
      <c r="E26" s="257" t="n"/>
      <c r="F26" s="257" t="n"/>
      <c r="G26" s="257" t="n"/>
      <c r="H26" s="257" t="n"/>
      <c r="I26" s="257" t="n"/>
      <c r="J26" s="257" t="n"/>
      <c r="K26" s="257" t="n"/>
      <c r="L26" s="257" t="n"/>
      <c r="M26" s="257" t="n"/>
      <c r="N26" s="257" t="n"/>
      <c r="O26" s="257" t="n"/>
      <c r="P26" s="257" t="n"/>
      <c r="Q26" s="257" t="n"/>
      <c r="R26" s="257" t="n"/>
      <c r="S26" s="257" t="n"/>
      <c r="T26" s="257" t="n"/>
      <c r="U26" s="257" t="n"/>
      <c r="V26" s="257" t="n"/>
      <c r="W26" s="257" t="n"/>
      <c r="X26" s="257" t="n"/>
      <c r="Y26" s="257" t="n"/>
      <c r="Z26" s="257" t="n"/>
    </row>
    <row r="27">
      <c r="A27" s="257" t="n"/>
      <c r="B27" s="257" t="n"/>
      <c r="C27" s="257" t="n"/>
      <c r="D27" s="257" t="n"/>
      <c r="E27" s="257" t="n"/>
      <c r="F27" s="257" t="n"/>
      <c r="G27" s="257" t="n"/>
      <c r="H27" s="257" t="n"/>
      <c r="I27" s="257" t="n"/>
      <c r="J27" s="257" t="n"/>
      <c r="K27" s="257" t="n"/>
      <c r="L27" s="257" t="n"/>
      <c r="M27" s="257" t="n"/>
      <c r="N27" s="257" t="n"/>
      <c r="O27" s="257" t="n"/>
      <c r="P27" s="257" t="n"/>
      <c r="Q27" s="257" t="n"/>
      <c r="R27" s="257" t="n"/>
      <c r="S27" s="257" t="n"/>
      <c r="T27" s="257" t="n"/>
      <c r="U27" s="257" t="n"/>
      <c r="V27" s="257" t="n"/>
      <c r="W27" s="257" t="n"/>
      <c r="X27" s="257" t="n"/>
      <c r="Y27" s="257" t="n"/>
      <c r="Z27" s="257" t="n"/>
    </row>
    <row r="28">
      <c r="A28" s="257" t="n"/>
      <c r="B28" s="257" t="n"/>
      <c r="C28" s="257" t="n"/>
      <c r="D28" s="257" t="n"/>
      <c r="E28" s="257" t="n"/>
      <c r="F28" s="257" t="n"/>
      <c r="G28" s="257" t="n"/>
      <c r="H28" s="257" t="n"/>
      <c r="I28" s="257" t="n"/>
      <c r="J28" s="257" t="n"/>
      <c r="K28" s="257" t="n"/>
      <c r="L28" s="257" t="n"/>
      <c r="M28" s="257" t="n"/>
      <c r="N28" s="257" t="n"/>
      <c r="O28" s="257" t="n"/>
      <c r="P28" s="257" t="n"/>
      <c r="Q28" s="257" t="n"/>
      <c r="R28" s="257" t="n"/>
      <c r="S28" s="257" t="n"/>
      <c r="T28" s="257" t="n"/>
      <c r="U28" s="257" t="n"/>
      <c r="V28" s="257" t="n"/>
      <c r="W28" s="257" t="n"/>
      <c r="X28" s="257" t="n"/>
      <c r="Y28" s="257" t="n"/>
      <c r="Z28" s="257" t="n"/>
    </row>
    <row r="29">
      <c r="A29" s="257" t="n"/>
      <c r="B29" s="257" t="n"/>
      <c r="C29" s="257" t="n"/>
      <c r="D29" s="257" t="n"/>
      <c r="E29" s="257" t="n"/>
      <c r="F29" s="257" t="n"/>
      <c r="G29" s="257" t="n"/>
      <c r="H29" s="257" t="n"/>
      <c r="I29" s="257" t="n"/>
      <c r="J29" s="257" t="n"/>
      <c r="K29" s="257" t="n"/>
      <c r="L29" s="257" t="n"/>
      <c r="M29" s="257" t="n"/>
      <c r="N29" s="257" t="n"/>
      <c r="O29" s="257" t="n"/>
      <c r="P29" s="257" t="n"/>
      <c r="Q29" s="257" t="n"/>
      <c r="R29" s="257" t="n"/>
      <c r="S29" s="257" t="n"/>
      <c r="T29" s="257" t="n"/>
      <c r="U29" s="257" t="n"/>
      <c r="V29" s="257" t="n"/>
      <c r="W29" s="257" t="n"/>
      <c r="X29" s="257" t="n"/>
      <c r="Y29" s="257" t="n"/>
      <c r="Z29" s="257" t="n"/>
    </row>
    <row r="30">
      <c r="A30" s="257" t="n"/>
      <c r="B30" s="257" t="n"/>
      <c r="C30" s="257" t="n"/>
      <c r="D30" s="257" t="n"/>
      <c r="E30" s="257" t="n"/>
      <c r="F30" s="257" t="n"/>
      <c r="G30" s="257" t="n"/>
      <c r="H30" s="257" t="n"/>
      <c r="I30" s="257" t="n"/>
      <c r="J30" s="257" t="n"/>
      <c r="K30" s="257" t="n"/>
      <c r="L30" s="257" t="n"/>
      <c r="M30" s="257" t="n"/>
      <c r="N30" s="257" t="n"/>
      <c r="O30" s="257" t="n"/>
      <c r="P30" s="257" t="n"/>
      <c r="Q30" s="257" t="n"/>
      <c r="R30" s="257" t="n"/>
      <c r="S30" s="257" t="n"/>
      <c r="T30" s="257" t="n"/>
      <c r="U30" s="257" t="n"/>
      <c r="V30" s="257" t="n"/>
      <c r="W30" s="257" t="n"/>
      <c r="X30" s="257" t="n"/>
      <c r="Y30" s="257" t="n"/>
      <c r="Z30" s="257" t="n"/>
    </row>
    <row r="31">
      <c r="A31" s="257" t="n"/>
      <c r="B31" s="257" t="n"/>
      <c r="C31" s="257" t="n"/>
      <c r="D31" s="257" t="n"/>
      <c r="E31" s="257" t="n"/>
      <c r="F31" s="257" t="n"/>
      <c r="G31" s="257" t="n"/>
      <c r="H31" s="257" t="n"/>
      <c r="I31" s="257" t="n"/>
      <c r="J31" s="257" t="n"/>
      <c r="K31" s="257" t="n"/>
      <c r="L31" s="257" t="n"/>
      <c r="M31" s="257" t="n"/>
      <c r="N31" s="257" t="n"/>
      <c r="O31" s="257" t="n"/>
      <c r="P31" s="257" t="n"/>
      <c r="Q31" s="257" t="n"/>
      <c r="R31" s="257" t="n"/>
      <c r="S31" s="257" t="n"/>
      <c r="T31" s="257" t="n"/>
      <c r="U31" s="257" t="n"/>
      <c r="V31" s="257" t="n"/>
      <c r="W31" s="257" t="n"/>
      <c r="X31" s="257" t="n"/>
      <c r="Y31" s="257" t="n"/>
      <c r="Z31" s="257" t="n"/>
    </row>
    <row r="32">
      <c r="A32" s="257" t="n"/>
      <c r="B32" s="257" t="n"/>
      <c r="C32" s="257" t="n"/>
      <c r="D32" s="257" t="n"/>
      <c r="E32" s="257" t="n"/>
      <c r="F32" s="257" t="n"/>
      <c r="G32" s="257" t="n"/>
      <c r="H32" s="257" t="n"/>
      <c r="I32" s="257" t="n"/>
      <c r="J32" s="257" t="n"/>
      <c r="K32" s="257" t="n"/>
      <c r="L32" s="257" t="n"/>
      <c r="M32" s="257" t="n"/>
      <c r="N32" s="257" t="n"/>
      <c r="O32" s="257" t="n"/>
      <c r="P32" s="257" t="n"/>
      <c r="Q32" s="257" t="n"/>
      <c r="R32" s="257" t="n"/>
      <c r="S32" s="257" t="n"/>
      <c r="T32" s="257" t="n"/>
      <c r="U32" s="257" t="n"/>
      <c r="V32" s="257" t="n"/>
      <c r="W32" s="257" t="n"/>
      <c r="X32" s="257" t="n"/>
      <c r="Y32" s="257" t="n"/>
      <c r="Z32" s="257" t="n"/>
    </row>
    <row r="33">
      <c r="A33" s="257" t="n"/>
      <c r="B33" s="257" t="n"/>
      <c r="C33" s="257" t="n"/>
      <c r="D33" s="257" t="n"/>
      <c r="E33" s="257" t="n"/>
      <c r="F33" s="257" t="n"/>
      <c r="G33" s="257" t="n"/>
      <c r="H33" s="257" t="n"/>
      <c r="I33" s="257" t="n"/>
      <c r="J33" s="257" t="n"/>
      <c r="K33" s="257" t="n"/>
      <c r="L33" s="257" t="n"/>
      <c r="M33" s="257" t="n"/>
      <c r="N33" s="257" t="n"/>
      <c r="O33" s="257" t="n"/>
      <c r="P33" s="257" t="n"/>
      <c r="Q33" s="257" t="n"/>
      <c r="R33" s="257" t="n"/>
      <c r="S33" s="257" t="n"/>
      <c r="T33" s="257" t="n"/>
      <c r="U33" s="257" t="n"/>
      <c r="V33" s="257" t="n"/>
      <c r="W33" s="257" t="n"/>
      <c r="X33" s="257" t="n"/>
      <c r="Y33" s="257" t="n"/>
      <c r="Z33" s="257" t="n"/>
    </row>
    <row r="34">
      <c r="A34" s="257" t="n"/>
      <c r="B34" s="257" t="n"/>
      <c r="C34" s="257" t="n"/>
      <c r="D34" s="257" t="n"/>
      <c r="E34" s="257" t="n"/>
      <c r="F34" s="257" t="n"/>
      <c r="G34" s="257" t="n"/>
      <c r="H34" s="257" t="n"/>
      <c r="I34" s="257" t="n"/>
      <c r="J34" s="257" t="n"/>
      <c r="K34" s="257" t="n"/>
      <c r="L34" s="257" t="n"/>
      <c r="M34" s="257" t="n"/>
      <c r="N34" s="257" t="n"/>
      <c r="O34" s="257" t="n"/>
      <c r="P34" s="257" t="n"/>
      <c r="Q34" s="257" t="n"/>
      <c r="R34" s="257" t="n"/>
      <c r="S34" s="257" t="n"/>
      <c r="T34" s="257" t="n"/>
      <c r="U34" s="257" t="n"/>
      <c r="V34" s="257" t="n"/>
      <c r="W34" s="257" t="n"/>
      <c r="X34" s="257" t="n"/>
      <c r="Y34" s="257" t="n"/>
      <c r="Z34" s="257" t="n"/>
    </row>
    <row r="35">
      <c r="A35" s="257" t="n"/>
      <c r="B35" s="257" t="n"/>
      <c r="C35" s="257" t="n"/>
      <c r="D35" s="257" t="n"/>
      <c r="E35" s="257" t="n"/>
      <c r="F35" s="257" t="n"/>
      <c r="G35" s="257" t="n"/>
      <c r="H35" s="257" t="n"/>
      <c r="I35" s="257" t="n"/>
      <c r="J35" s="257" t="n"/>
      <c r="K35" s="257" t="n"/>
      <c r="L35" s="257" t="n"/>
      <c r="M35" s="257" t="n"/>
      <c r="N35" s="257" t="n"/>
      <c r="O35" s="257" t="n"/>
      <c r="P35" s="257" t="n"/>
      <c r="Q35" s="257" t="n"/>
      <c r="R35" s="257" t="n"/>
      <c r="S35" s="257" t="n"/>
      <c r="T35" s="257" t="n"/>
      <c r="U35" s="257" t="n"/>
      <c r="V35" s="257" t="n"/>
      <c r="W35" s="257" t="n"/>
      <c r="X35" s="257" t="n"/>
      <c r="Y35" s="257" t="n"/>
      <c r="Z35" s="257" t="n"/>
    </row>
    <row r="36">
      <c r="A36" s="257" t="n"/>
      <c r="B36" s="257" t="n"/>
      <c r="C36" s="257" t="n"/>
      <c r="D36" s="257" t="n"/>
      <c r="E36" s="257" t="n"/>
      <c r="F36" s="257" t="n"/>
      <c r="G36" s="257" t="n"/>
      <c r="H36" s="257" t="n"/>
      <c r="I36" s="257" t="n"/>
      <c r="J36" s="257" t="n"/>
      <c r="K36" s="257" t="n"/>
      <c r="L36" s="257" t="n"/>
      <c r="M36" s="257" t="n"/>
      <c r="N36" s="257" t="n"/>
      <c r="O36" s="257" t="n"/>
      <c r="P36" s="257" t="n"/>
      <c r="Q36" s="257" t="n"/>
      <c r="R36" s="257" t="n"/>
      <c r="S36" s="257" t="n"/>
      <c r="T36" s="257" t="n"/>
      <c r="U36" s="257" t="n"/>
      <c r="V36" s="257" t="n"/>
      <c r="W36" s="257" t="n"/>
      <c r="X36" s="257" t="n"/>
      <c r="Y36" s="257" t="n"/>
      <c r="Z36" s="257" t="n"/>
    </row>
    <row r="37">
      <c r="A37" s="257" t="n"/>
      <c r="B37" s="257" t="n"/>
      <c r="C37" s="257" t="n"/>
      <c r="D37" s="257" t="n"/>
      <c r="E37" s="257" t="n"/>
      <c r="F37" s="257" t="n"/>
      <c r="G37" s="257" t="n"/>
      <c r="H37" s="257" t="n"/>
      <c r="I37" s="257" t="n"/>
      <c r="J37" s="257" t="n"/>
      <c r="K37" s="257" t="n"/>
      <c r="L37" s="257" t="n"/>
      <c r="M37" s="257" t="n"/>
      <c r="N37" s="257" t="n"/>
      <c r="O37" s="257" t="n"/>
      <c r="P37" s="257" t="n"/>
      <c r="Q37" s="257" t="n"/>
      <c r="R37" s="257" t="n"/>
      <c r="S37" s="257" t="n"/>
      <c r="T37" s="257" t="n"/>
      <c r="U37" s="257" t="n"/>
      <c r="V37" s="257" t="n"/>
      <c r="W37" s="257" t="n"/>
      <c r="X37" s="257" t="n"/>
      <c r="Y37" s="257" t="n"/>
      <c r="Z37" s="257" t="n"/>
    </row>
    <row r="38">
      <c r="A38" s="257" t="n"/>
      <c r="B38" s="257" t="n"/>
      <c r="C38" s="257" t="n"/>
      <c r="D38" s="257" t="n"/>
      <c r="E38" s="257" t="n"/>
      <c r="F38" s="257" t="n"/>
      <c r="G38" s="257" t="n"/>
      <c r="H38" s="257" t="n"/>
      <c r="I38" s="257" t="n"/>
      <c r="J38" s="257" t="n"/>
      <c r="K38" s="257" t="n"/>
      <c r="L38" s="257" t="n"/>
      <c r="M38" s="257" t="n"/>
      <c r="N38" s="257" t="n"/>
      <c r="O38" s="257" t="n"/>
      <c r="P38" s="257" t="n"/>
      <c r="Q38" s="257" t="n"/>
      <c r="R38" s="257" t="n"/>
      <c r="S38" s="257" t="n"/>
      <c r="T38" s="257" t="n"/>
      <c r="U38" s="257" t="n"/>
      <c r="V38" s="257" t="n"/>
      <c r="W38" s="257" t="n"/>
      <c r="X38" s="257" t="n"/>
      <c r="Y38" s="257" t="n"/>
      <c r="Z38" s="257" t="n"/>
    </row>
    <row r="39">
      <c r="A39" s="257" t="n"/>
      <c r="B39" s="257" t="n"/>
      <c r="C39" s="257" t="n"/>
      <c r="D39" s="257" t="n"/>
      <c r="E39" s="257" t="n"/>
      <c r="F39" s="257" t="n"/>
      <c r="G39" s="257" t="n"/>
      <c r="H39" s="257" t="n"/>
      <c r="I39" s="257" t="n"/>
      <c r="J39" s="257" t="n"/>
      <c r="K39" s="257" t="n"/>
      <c r="L39" s="257" t="n"/>
      <c r="M39" s="257" t="n"/>
      <c r="N39" s="257" t="n"/>
      <c r="O39" s="257" t="n"/>
      <c r="P39" s="257" t="n"/>
      <c r="Q39" s="257" t="n"/>
      <c r="R39" s="257" t="n"/>
      <c r="S39" s="257" t="n"/>
      <c r="T39" s="257" t="n"/>
      <c r="U39" s="257" t="n"/>
      <c r="V39" s="257" t="n"/>
      <c r="W39" s="257" t="n"/>
      <c r="X39" s="257" t="n"/>
      <c r="Y39" s="257" t="n"/>
      <c r="Z39" s="257" t="n"/>
    </row>
    <row r="40">
      <c r="A40" s="257" t="n"/>
      <c r="B40" s="257" t="n"/>
      <c r="C40" s="257" t="n"/>
      <c r="D40" s="257" t="n"/>
      <c r="E40" s="257" t="n"/>
      <c r="F40" s="257" t="n"/>
      <c r="G40" s="257" t="n"/>
      <c r="H40" s="257" t="n"/>
      <c r="I40" s="257" t="n"/>
      <c r="J40" s="257" t="n"/>
      <c r="K40" s="257" t="n"/>
      <c r="L40" s="257" t="n"/>
      <c r="M40" s="257" t="n"/>
      <c r="N40" s="257" t="n"/>
      <c r="O40" s="257" t="n"/>
      <c r="P40" s="257" t="n"/>
      <c r="Q40" s="257" t="n"/>
      <c r="R40" s="257" t="n"/>
      <c r="S40" s="257" t="n"/>
      <c r="T40" s="257" t="n"/>
      <c r="U40" s="257" t="n"/>
      <c r="V40" s="257" t="n"/>
      <c r="W40" s="257" t="n"/>
      <c r="X40" s="257" t="n"/>
      <c r="Y40" s="257" t="n"/>
      <c r="Z40" s="257" t="n"/>
    </row>
    <row r="41">
      <c r="A41" s="257" t="n"/>
      <c r="B41" s="257" t="n"/>
      <c r="C41" s="257" t="n"/>
      <c r="D41" s="257" t="n"/>
      <c r="E41" s="257" t="n"/>
      <c r="F41" s="257" t="n"/>
      <c r="G41" s="257" t="n"/>
      <c r="H41" s="257" t="n"/>
      <c r="I41" s="257" t="n"/>
      <c r="J41" s="257" t="n"/>
      <c r="K41" s="257" t="n"/>
      <c r="L41" s="257" t="n"/>
      <c r="M41" s="257" t="n"/>
      <c r="N41" s="257" t="n"/>
      <c r="O41" s="257" t="n"/>
      <c r="P41" s="257" t="n"/>
      <c r="Q41" s="257" t="n"/>
      <c r="R41" s="257" t="n"/>
      <c r="S41" s="257" t="n"/>
      <c r="T41" s="257" t="n"/>
      <c r="U41" s="257" t="n"/>
      <c r="V41" s="257" t="n"/>
      <c r="W41" s="257" t="n"/>
      <c r="X41" s="257" t="n"/>
      <c r="Y41" s="257" t="n"/>
      <c r="Z41" s="257" t="n"/>
    </row>
    <row r="42">
      <c r="A42" s="257" t="n"/>
      <c r="B42" s="257" t="n"/>
      <c r="C42" s="257" t="n"/>
      <c r="D42" s="257" t="n"/>
      <c r="E42" s="257" t="n"/>
      <c r="F42" s="257" t="n"/>
      <c r="G42" s="257" t="n"/>
      <c r="H42" s="257" t="n"/>
      <c r="I42" s="257" t="n"/>
      <c r="J42" s="257" t="n"/>
      <c r="K42" s="257" t="n"/>
      <c r="L42" s="257" t="n"/>
      <c r="M42" s="257" t="n"/>
      <c r="N42" s="257" t="n"/>
      <c r="O42" s="257" t="n"/>
      <c r="P42" s="257" t="n"/>
      <c r="Q42" s="257" t="n"/>
      <c r="R42" s="257" t="n"/>
      <c r="S42" s="257" t="n"/>
      <c r="T42" s="257" t="n"/>
      <c r="U42" s="257" t="n"/>
      <c r="V42" s="257" t="n"/>
      <c r="W42" s="257" t="n"/>
      <c r="X42" s="257" t="n"/>
      <c r="Y42" s="257" t="n"/>
      <c r="Z42" s="257" t="n"/>
    </row>
    <row r="43">
      <c r="A43" s="257" t="n"/>
      <c r="B43" s="257" t="n"/>
      <c r="C43" s="257" t="n"/>
      <c r="D43" s="257" t="n"/>
      <c r="E43" s="257" t="n"/>
      <c r="F43" s="257" t="n"/>
      <c r="G43" s="257" t="n"/>
      <c r="H43" s="257" t="n"/>
      <c r="I43" s="257" t="n"/>
      <c r="J43" s="257" t="n"/>
      <c r="K43" s="257" t="n"/>
      <c r="L43" s="257" t="n"/>
      <c r="M43" s="257" t="n"/>
      <c r="N43" s="257" t="n"/>
      <c r="O43" s="257" t="n"/>
      <c r="P43" s="257" t="n"/>
      <c r="Q43" s="257" t="n"/>
      <c r="R43" s="257" t="n"/>
      <c r="S43" s="257" t="n"/>
      <c r="T43" s="257" t="n"/>
      <c r="U43" s="257" t="n"/>
      <c r="V43" s="257" t="n"/>
      <c r="W43" s="257" t="n"/>
      <c r="X43" s="257" t="n"/>
      <c r="Y43" s="257" t="n"/>
      <c r="Z43" s="257" t="n"/>
    </row>
    <row r="44">
      <c r="A44" s="257" t="n"/>
      <c r="B44" s="257" t="n"/>
      <c r="C44" s="257" t="n"/>
      <c r="D44" s="257" t="n"/>
      <c r="E44" s="257" t="n"/>
      <c r="F44" s="257" t="n"/>
      <c r="G44" s="257" t="n"/>
      <c r="H44" s="257" t="n"/>
      <c r="I44" s="257" t="n"/>
      <c r="J44" s="257" t="n"/>
      <c r="K44" s="257" t="n"/>
      <c r="L44" s="257" t="n"/>
      <c r="M44" s="257" t="n"/>
      <c r="N44" s="257" t="n"/>
      <c r="O44" s="257" t="n"/>
      <c r="P44" s="257" t="n"/>
      <c r="Q44" s="257" t="n"/>
      <c r="R44" s="257" t="n"/>
      <c r="S44" s="257" t="n"/>
      <c r="T44" s="257" t="n"/>
      <c r="U44" s="257" t="n"/>
      <c r="V44" s="257" t="n"/>
      <c r="W44" s="257" t="n"/>
      <c r="X44" s="257" t="n"/>
      <c r="Y44" s="257" t="n"/>
      <c r="Z44" s="257" t="n"/>
    </row>
    <row r="45">
      <c r="A45" s="257" t="n"/>
      <c r="B45" s="257" t="n"/>
      <c r="C45" s="257" t="n"/>
      <c r="D45" s="257" t="n"/>
      <c r="E45" s="257" t="n"/>
      <c r="F45" s="257" t="n"/>
      <c r="G45" s="257" t="n"/>
      <c r="H45" s="257" t="n"/>
      <c r="I45" s="257" t="n"/>
      <c r="J45" s="257" t="n"/>
      <c r="K45" s="257" t="n"/>
      <c r="L45" s="257" t="n"/>
      <c r="M45" s="257" t="n"/>
      <c r="N45" s="257" t="n"/>
      <c r="O45" s="257" t="n"/>
      <c r="P45" s="257" t="n"/>
      <c r="Q45" s="257" t="n"/>
      <c r="R45" s="257" t="n"/>
      <c r="S45" s="257" t="n"/>
      <c r="T45" s="257" t="n"/>
      <c r="U45" s="257" t="n"/>
      <c r="V45" s="257" t="n"/>
      <c r="W45" s="257" t="n"/>
      <c r="X45" s="257" t="n"/>
      <c r="Y45" s="257" t="n"/>
      <c r="Z45" s="257" t="n"/>
    </row>
    <row r="46">
      <c r="A46" s="257" t="n"/>
      <c r="B46" s="257" t="n"/>
      <c r="C46" s="257" t="n"/>
      <c r="D46" s="257" t="n"/>
      <c r="E46" s="257" t="n"/>
      <c r="F46" s="257" t="n"/>
      <c r="G46" s="257" t="n"/>
      <c r="H46" s="257" t="n"/>
      <c r="I46" s="257" t="n"/>
      <c r="J46" s="257" t="n"/>
      <c r="K46" s="257" t="n"/>
      <c r="L46" s="257" t="n"/>
      <c r="M46" s="257" t="n"/>
      <c r="N46" s="257" t="n"/>
      <c r="O46" s="257" t="n"/>
      <c r="P46" s="257" t="n"/>
      <c r="Q46" s="257" t="n"/>
      <c r="R46" s="257" t="n"/>
      <c r="S46" s="257" t="n"/>
      <c r="T46" s="257" t="n"/>
      <c r="U46" s="257" t="n"/>
      <c r="V46" s="257" t="n"/>
      <c r="W46" s="257" t="n"/>
      <c r="X46" s="257" t="n"/>
      <c r="Y46" s="257" t="n"/>
      <c r="Z46" s="257" t="n"/>
    </row>
    <row r="47">
      <c r="A47" s="257" t="n"/>
      <c r="B47" s="257" t="n"/>
      <c r="C47" s="257" t="n"/>
      <c r="D47" s="257" t="n"/>
      <c r="E47" s="257" t="n"/>
      <c r="F47" s="257" t="n"/>
      <c r="G47" s="257" t="n"/>
      <c r="H47" s="257" t="n"/>
      <c r="I47" s="257" t="n"/>
      <c r="J47" s="257" t="n"/>
      <c r="K47" s="257" t="n"/>
      <c r="L47" s="257" t="n"/>
      <c r="M47" s="257" t="n"/>
      <c r="N47" s="257" t="n"/>
      <c r="O47" s="257" t="n"/>
      <c r="P47" s="257" t="n"/>
      <c r="Q47" s="257" t="n"/>
      <c r="R47" s="257" t="n"/>
      <c r="S47" s="257" t="n"/>
      <c r="T47" s="257" t="n"/>
      <c r="U47" s="257" t="n"/>
      <c r="V47" s="257" t="n"/>
      <c r="W47" s="257" t="n"/>
      <c r="X47" s="257" t="n"/>
      <c r="Y47" s="257" t="n"/>
      <c r="Z47" s="257" t="n"/>
    </row>
    <row r="48">
      <c r="A48" s="257" t="n"/>
      <c r="B48" s="257" t="n"/>
      <c r="C48" s="257" t="n"/>
      <c r="D48" s="257" t="n"/>
      <c r="E48" s="257" t="n"/>
      <c r="F48" s="257" t="n"/>
      <c r="G48" s="257" t="n"/>
      <c r="H48" s="257" t="n"/>
      <c r="I48" s="257" t="n"/>
      <c r="J48" s="257" t="n"/>
      <c r="K48" s="257" t="n"/>
      <c r="L48" s="257" t="n"/>
      <c r="M48" s="257" t="n"/>
      <c r="N48" s="257" t="n"/>
      <c r="O48" s="257" t="n"/>
      <c r="P48" s="257" t="n"/>
      <c r="Q48" s="257" t="n"/>
      <c r="R48" s="257" t="n"/>
      <c r="S48" s="257" t="n"/>
      <c r="T48" s="257" t="n"/>
      <c r="U48" s="257" t="n"/>
      <c r="V48" s="257" t="n"/>
      <c r="W48" s="257" t="n"/>
      <c r="X48" s="257" t="n"/>
      <c r="Y48" s="257" t="n"/>
      <c r="Z48" s="257" t="n"/>
    </row>
    <row r="49">
      <c r="A49" s="257" t="n"/>
      <c r="B49" s="257" t="n"/>
      <c r="C49" s="257" t="n"/>
      <c r="D49" s="257" t="n"/>
      <c r="E49" s="257" t="n"/>
      <c r="F49" s="257" t="n"/>
      <c r="G49" s="257" t="n"/>
      <c r="H49" s="257" t="n"/>
      <c r="I49" s="257" t="n"/>
      <c r="J49" s="257" t="n"/>
      <c r="K49" s="257" t="n"/>
      <c r="L49" s="257" t="n"/>
      <c r="M49" s="257" t="n"/>
      <c r="N49" s="257" t="n"/>
      <c r="O49" s="257" t="n"/>
      <c r="P49" s="257" t="n"/>
      <c r="Q49" s="257" t="n"/>
      <c r="R49" s="257" t="n"/>
      <c r="S49" s="257" t="n"/>
      <c r="T49" s="257" t="n"/>
      <c r="U49" s="257" t="n"/>
      <c r="V49" s="257" t="n"/>
      <c r="W49" s="257" t="n"/>
      <c r="X49" s="257" t="n"/>
      <c r="Y49" s="257" t="n"/>
      <c r="Z49" s="257" t="n"/>
    </row>
    <row r="50">
      <c r="A50" s="257" t="n"/>
      <c r="B50" s="257" t="n"/>
      <c r="C50" s="257" t="n"/>
      <c r="D50" s="257" t="n"/>
      <c r="E50" s="257" t="n"/>
      <c r="F50" s="257" t="n"/>
      <c r="G50" s="257" t="n"/>
      <c r="H50" s="257" t="n"/>
      <c r="I50" s="257" t="n"/>
      <c r="J50" s="257" t="n"/>
      <c r="K50" s="257" t="n"/>
      <c r="L50" s="257" t="n"/>
      <c r="M50" s="257" t="n"/>
      <c r="N50" s="257" t="n"/>
      <c r="O50" s="257" t="n"/>
      <c r="P50" s="257" t="n"/>
      <c r="Q50" s="257" t="n"/>
      <c r="R50" s="257" t="n"/>
      <c r="S50" s="257" t="n"/>
      <c r="T50" s="257" t="n"/>
      <c r="U50" s="257" t="n"/>
      <c r="V50" s="257" t="n"/>
      <c r="W50" s="257" t="n"/>
      <c r="X50" s="257" t="n"/>
      <c r="Y50" s="257" t="n"/>
      <c r="Z50" s="257" t="n"/>
    </row>
    <row r="51">
      <c r="A51" s="257" t="n"/>
      <c r="B51" s="257" t="n"/>
      <c r="C51" s="257" t="n"/>
      <c r="D51" s="257" t="n"/>
      <c r="E51" s="257" t="n"/>
      <c r="F51" s="257" t="n"/>
      <c r="G51" s="257" t="n"/>
      <c r="H51" s="257" t="n"/>
      <c r="I51" s="257" t="n"/>
      <c r="J51" s="257" t="n"/>
      <c r="K51" s="257" t="n"/>
      <c r="L51" s="257" t="n"/>
      <c r="M51" s="257" t="n"/>
      <c r="N51" s="257" t="n"/>
      <c r="O51" s="257" t="n"/>
      <c r="P51" s="257" t="n"/>
      <c r="Q51" s="257" t="n"/>
      <c r="R51" s="257" t="n"/>
      <c r="S51" s="257" t="n"/>
      <c r="T51" s="257" t="n"/>
      <c r="U51" s="257" t="n"/>
      <c r="V51" s="257" t="n"/>
      <c r="W51" s="257" t="n"/>
      <c r="X51" s="257" t="n"/>
      <c r="Y51" s="257" t="n"/>
      <c r="Z51" s="257" t="n"/>
    </row>
    <row r="52">
      <c r="A52" s="257" t="n"/>
      <c r="B52" s="257" t="n"/>
      <c r="C52" s="257" t="n"/>
      <c r="D52" s="257" t="n"/>
      <c r="E52" s="257" t="n"/>
      <c r="F52" s="257" t="n"/>
      <c r="G52" s="257" t="n"/>
      <c r="H52" s="257" t="n"/>
      <c r="I52" s="257" t="n"/>
      <c r="J52" s="257" t="n"/>
      <c r="K52" s="257" t="n"/>
      <c r="L52" s="257" t="n"/>
      <c r="M52" s="257" t="n"/>
      <c r="N52" s="257" t="n"/>
      <c r="O52" s="257" t="n"/>
      <c r="P52" s="257" t="n"/>
      <c r="Q52" s="257" t="n"/>
      <c r="R52" s="257" t="n"/>
      <c r="S52" s="257" t="n"/>
      <c r="T52" s="257" t="n"/>
      <c r="U52" s="257" t="n"/>
      <c r="V52" s="257" t="n"/>
      <c r="W52" s="257" t="n"/>
      <c r="X52" s="257" t="n"/>
      <c r="Y52" s="257" t="n"/>
      <c r="Z52" s="257" t="n"/>
    </row>
    <row r="53">
      <c r="A53" s="257" t="n"/>
      <c r="B53" s="257" t="n"/>
      <c r="C53" s="257" t="n"/>
      <c r="D53" s="257" t="n"/>
      <c r="E53" s="257" t="n"/>
      <c r="F53" s="257" t="n"/>
      <c r="G53" s="257" t="n"/>
      <c r="H53" s="257" t="n"/>
      <c r="I53" s="257" t="n"/>
      <c r="J53" s="257" t="n"/>
      <c r="K53" s="257" t="n"/>
      <c r="L53" s="257" t="n"/>
      <c r="M53" s="257" t="n"/>
      <c r="N53" s="257" t="n"/>
      <c r="O53" s="257" t="n"/>
      <c r="P53" s="257" t="n"/>
      <c r="Q53" s="257" t="n"/>
      <c r="R53" s="257" t="n"/>
      <c r="S53" s="257" t="n"/>
      <c r="T53" s="257" t="n"/>
      <c r="U53" s="257" t="n"/>
      <c r="V53" s="257" t="n"/>
      <c r="W53" s="257" t="n"/>
      <c r="X53" s="257" t="n"/>
      <c r="Y53" s="257" t="n"/>
      <c r="Z53" s="257" t="n"/>
    </row>
    <row r="54">
      <c r="A54" s="257" t="n"/>
      <c r="B54" s="257" t="n"/>
      <c r="C54" s="257" t="n"/>
      <c r="D54" s="257" t="n"/>
      <c r="E54" s="257" t="n"/>
      <c r="F54" s="257" t="n"/>
      <c r="G54" s="257" t="n"/>
      <c r="H54" s="257" t="n"/>
      <c r="I54" s="257" t="n"/>
      <c r="J54" s="257" t="n"/>
      <c r="K54" s="257" t="n"/>
      <c r="L54" s="257" t="n"/>
      <c r="M54" s="257" t="n"/>
      <c r="N54" s="257" t="n"/>
      <c r="O54" s="257" t="n"/>
      <c r="P54" s="257" t="n"/>
      <c r="Q54" s="257" t="n"/>
      <c r="R54" s="257" t="n"/>
      <c r="S54" s="257" t="n"/>
      <c r="T54" s="257" t="n"/>
      <c r="U54" s="257" t="n"/>
      <c r="V54" s="257" t="n"/>
      <c r="W54" s="257" t="n"/>
      <c r="X54" s="257" t="n"/>
      <c r="Y54" s="257" t="n"/>
      <c r="Z54" s="257" t="n"/>
    </row>
    <row r="55">
      <c r="A55" s="257" t="n"/>
      <c r="B55" s="257" t="n"/>
      <c r="C55" s="257" t="n"/>
      <c r="D55" s="257" t="n"/>
      <c r="E55" s="257" t="n"/>
      <c r="F55" s="257" t="n"/>
      <c r="G55" s="257" t="n"/>
      <c r="H55" s="257" t="n"/>
      <c r="I55" s="257" t="n"/>
      <c r="J55" s="257" t="n"/>
      <c r="K55" s="257" t="n"/>
      <c r="L55" s="257" t="n"/>
      <c r="M55" s="257" t="n"/>
      <c r="N55" s="257" t="n"/>
      <c r="O55" s="257" t="n"/>
      <c r="P55" s="257" t="n"/>
      <c r="Q55" s="257" t="n"/>
      <c r="R55" s="257" t="n"/>
      <c r="S55" s="257" t="n"/>
      <c r="T55" s="257" t="n"/>
      <c r="U55" s="257" t="n"/>
      <c r="V55" s="257" t="n"/>
      <c r="W55" s="257" t="n"/>
      <c r="X55" s="257" t="n"/>
      <c r="Y55" s="257" t="n"/>
      <c r="Z55" s="257" t="n"/>
    </row>
    <row r="56">
      <c r="A56" s="257" t="n"/>
      <c r="B56" s="257" t="n"/>
      <c r="C56" s="257" t="n"/>
      <c r="D56" s="257" t="n"/>
      <c r="E56" s="257" t="n"/>
      <c r="F56" s="257" t="n"/>
      <c r="G56" s="257" t="n"/>
      <c r="H56" s="257" t="n"/>
      <c r="I56" s="257" t="n"/>
      <c r="J56" s="257" t="n"/>
      <c r="K56" s="257" t="n"/>
      <c r="L56" s="257" t="n"/>
      <c r="M56" s="257" t="n"/>
      <c r="N56" s="257" t="n"/>
      <c r="O56" s="257" t="n"/>
      <c r="P56" s="257" t="n"/>
      <c r="Q56" s="257" t="n"/>
      <c r="R56" s="257" t="n"/>
      <c r="S56" s="257" t="n"/>
      <c r="T56" s="257" t="n"/>
      <c r="U56" s="257" t="n"/>
      <c r="V56" s="257" t="n"/>
      <c r="W56" s="257" t="n"/>
      <c r="X56" s="257" t="n"/>
      <c r="Y56" s="257" t="n"/>
      <c r="Z56" s="257" t="n"/>
    </row>
    <row r="57">
      <c r="A57" s="257" t="n"/>
      <c r="B57" s="257" t="n"/>
      <c r="C57" s="257" t="n"/>
      <c r="D57" s="257" t="n"/>
      <c r="E57" s="257" t="n"/>
      <c r="F57" s="257" t="n"/>
      <c r="G57" s="257" t="n"/>
      <c r="H57" s="257" t="n"/>
      <c r="I57" s="257" t="n"/>
      <c r="J57" s="257" t="n"/>
      <c r="K57" s="257" t="n"/>
      <c r="L57" s="257" t="n"/>
      <c r="M57" s="257" t="n"/>
      <c r="N57" s="257" t="n"/>
      <c r="O57" s="257" t="n"/>
      <c r="P57" s="257" t="n"/>
      <c r="Q57" s="257" t="n"/>
      <c r="R57" s="257" t="n"/>
      <c r="S57" s="257" t="n"/>
      <c r="T57" s="257" t="n"/>
      <c r="U57" s="257" t="n"/>
      <c r="V57" s="257" t="n"/>
      <c r="W57" s="257" t="n"/>
      <c r="X57" s="257" t="n"/>
      <c r="Y57" s="257" t="n"/>
      <c r="Z57" s="257" t="n"/>
    </row>
    <row r="58">
      <c r="A58" s="257" t="n"/>
      <c r="B58" s="257" t="n"/>
      <c r="C58" s="257" t="n"/>
      <c r="D58" s="257" t="n"/>
      <c r="E58" s="257" t="n"/>
      <c r="F58" s="257" t="n"/>
      <c r="G58" s="257" t="n"/>
      <c r="H58" s="257" t="n"/>
      <c r="I58" s="257" t="n"/>
      <c r="J58" s="257" t="n"/>
      <c r="K58" s="257" t="n"/>
      <c r="L58" s="257" t="n"/>
      <c r="M58" s="257" t="n"/>
      <c r="N58" s="257" t="n"/>
      <c r="O58" s="257" t="n"/>
      <c r="P58" s="257" t="n"/>
      <c r="Q58" s="257" t="n"/>
      <c r="R58" s="257" t="n"/>
      <c r="S58" s="257" t="n"/>
      <c r="T58" s="257" t="n"/>
      <c r="U58" s="257" t="n"/>
      <c r="V58" s="257" t="n"/>
      <c r="W58" s="257" t="n"/>
      <c r="X58" s="257" t="n"/>
      <c r="Y58" s="257" t="n"/>
      <c r="Z58" s="257" t="n"/>
    </row>
    <row r="59">
      <c r="A59" s="257" t="n"/>
      <c r="B59" s="257" t="n"/>
      <c r="C59" s="257" t="n"/>
      <c r="D59" s="257" t="n"/>
      <c r="E59" s="257" t="n"/>
      <c r="F59" s="257" t="n"/>
      <c r="G59" s="257" t="n"/>
      <c r="H59" s="257" t="n"/>
      <c r="I59" s="257" t="n"/>
      <c r="J59" s="257" t="n"/>
      <c r="K59" s="257" t="n"/>
      <c r="L59" s="257" t="n"/>
      <c r="M59" s="257" t="n"/>
      <c r="N59" s="257" t="n"/>
      <c r="O59" s="257" t="n"/>
      <c r="P59" s="257" t="n"/>
      <c r="Q59" s="257" t="n"/>
      <c r="R59" s="257" t="n"/>
      <c r="S59" s="257" t="n"/>
      <c r="T59" s="257" t="n"/>
      <c r="U59" s="257" t="n"/>
      <c r="V59" s="257" t="n"/>
      <c r="W59" s="257" t="n"/>
      <c r="X59" s="257" t="n"/>
      <c r="Y59" s="257" t="n"/>
      <c r="Z59" s="257" t="n"/>
    </row>
    <row r="60">
      <c r="A60" s="257" t="n"/>
      <c r="B60" s="257" t="n"/>
      <c r="C60" s="257" t="n"/>
      <c r="D60" s="257" t="n"/>
      <c r="E60" s="257" t="n"/>
      <c r="F60" s="257" t="n"/>
      <c r="G60" s="257" t="n"/>
      <c r="H60" s="257" t="n"/>
      <c r="I60" s="257" t="n"/>
      <c r="J60" s="257" t="n"/>
      <c r="K60" s="257" t="n"/>
      <c r="L60" s="257" t="n"/>
      <c r="M60" s="257" t="n"/>
      <c r="N60" s="257" t="n"/>
      <c r="O60" s="257" t="n"/>
      <c r="P60" s="257" t="n"/>
      <c r="Q60" s="257" t="n"/>
      <c r="R60" s="257" t="n"/>
      <c r="S60" s="257" t="n"/>
      <c r="T60" s="257" t="n"/>
      <c r="U60" s="257" t="n"/>
      <c r="V60" s="257" t="n"/>
      <c r="W60" s="257" t="n"/>
      <c r="X60" s="257" t="n"/>
      <c r="Y60" s="257" t="n"/>
      <c r="Z60" s="257" t="n"/>
    </row>
    <row r="61">
      <c r="A61" s="257" t="n"/>
      <c r="B61" s="257" t="n"/>
      <c r="C61" s="257" t="n"/>
      <c r="D61" s="257" t="n"/>
      <c r="E61" s="257" t="n"/>
      <c r="F61" s="257" t="n"/>
      <c r="G61" s="257" t="n"/>
      <c r="H61" s="257" t="n"/>
      <c r="I61" s="257" t="n"/>
      <c r="J61" s="257" t="n"/>
      <c r="K61" s="257" t="n"/>
      <c r="L61" s="257" t="n"/>
      <c r="M61" s="257" t="n"/>
      <c r="N61" s="257" t="n"/>
      <c r="O61" s="257" t="n"/>
      <c r="P61" s="257" t="n"/>
      <c r="Q61" s="257" t="n"/>
      <c r="R61" s="257" t="n"/>
      <c r="S61" s="257" t="n"/>
      <c r="T61" s="257" t="n"/>
      <c r="U61" s="257" t="n"/>
      <c r="V61" s="257" t="n"/>
      <c r="W61" s="257" t="n"/>
      <c r="X61" s="257" t="n"/>
      <c r="Y61" s="257" t="n"/>
      <c r="Z61" s="257" t="n"/>
    </row>
    <row r="62">
      <c r="A62" s="257" t="n"/>
      <c r="B62" s="257" t="n"/>
      <c r="C62" s="257" t="n"/>
      <c r="D62" s="257" t="n"/>
      <c r="E62" s="257" t="n"/>
      <c r="F62" s="257" t="n"/>
      <c r="G62" s="257" t="n"/>
      <c r="H62" s="257" t="n"/>
      <c r="I62" s="257" t="n"/>
      <c r="J62" s="257" t="n"/>
      <c r="K62" s="257" t="n"/>
      <c r="L62" s="257" t="n"/>
      <c r="M62" s="257" t="n"/>
      <c r="N62" s="257" t="n"/>
      <c r="O62" s="257" t="n"/>
      <c r="P62" s="257" t="n"/>
      <c r="Q62" s="257" t="n"/>
      <c r="R62" s="257" t="n"/>
      <c r="S62" s="257" t="n"/>
      <c r="T62" s="257" t="n"/>
      <c r="U62" s="257" t="n"/>
      <c r="V62" s="257" t="n"/>
      <c r="W62" s="257" t="n"/>
      <c r="X62" s="257" t="n"/>
      <c r="Y62" s="257" t="n"/>
      <c r="Z62" s="257" t="n"/>
    </row>
    <row r="63">
      <c r="A63" s="257" t="n"/>
      <c r="B63" s="257" t="n"/>
      <c r="C63" s="257" t="n"/>
      <c r="D63" s="257" t="n"/>
      <c r="E63" s="257" t="n"/>
      <c r="F63" s="257" t="n"/>
      <c r="G63" s="257" t="n"/>
      <c r="H63" s="257" t="n"/>
      <c r="I63" s="257" t="n"/>
      <c r="J63" s="257" t="n"/>
      <c r="K63" s="257" t="n"/>
      <c r="L63" s="257" t="n"/>
      <c r="M63" s="257" t="n"/>
      <c r="N63" s="257" t="n"/>
      <c r="O63" s="257" t="n"/>
      <c r="P63" s="257" t="n"/>
      <c r="Q63" s="257" t="n"/>
      <c r="R63" s="257" t="n"/>
      <c r="S63" s="257" t="n"/>
      <c r="T63" s="257" t="n"/>
      <c r="U63" s="257" t="n"/>
      <c r="V63" s="257" t="n"/>
      <c r="W63" s="257" t="n"/>
      <c r="X63" s="257" t="n"/>
      <c r="Y63" s="257" t="n"/>
      <c r="Z63" s="257" t="n"/>
    </row>
    <row r="64">
      <c r="A64" s="257" t="n"/>
      <c r="B64" s="257" t="n"/>
      <c r="C64" s="257" t="n"/>
      <c r="D64" s="257" t="n"/>
      <c r="E64" s="257" t="n"/>
      <c r="F64" s="257" t="n"/>
      <c r="G64" s="257" t="n"/>
      <c r="H64" s="257" t="n"/>
      <c r="I64" s="257" t="n"/>
      <c r="J64" s="257" t="n"/>
      <c r="K64" s="257" t="n"/>
      <c r="L64" s="257" t="n"/>
      <c r="M64" s="257" t="n"/>
      <c r="N64" s="257" t="n"/>
      <c r="O64" s="257" t="n"/>
      <c r="P64" s="257" t="n"/>
      <c r="Q64" s="257" t="n"/>
      <c r="R64" s="257" t="n"/>
      <c r="S64" s="257" t="n"/>
      <c r="T64" s="257" t="n"/>
      <c r="U64" s="257" t="n"/>
      <c r="V64" s="257" t="n"/>
      <c r="W64" s="257" t="n"/>
      <c r="X64" s="257" t="n"/>
      <c r="Y64" s="257" t="n"/>
      <c r="Z64" s="257" t="n"/>
    </row>
    <row r="65">
      <c r="A65" s="257" t="n"/>
      <c r="B65" s="257" t="n"/>
      <c r="C65" s="257" t="n"/>
      <c r="D65" s="257" t="n"/>
      <c r="E65" s="257" t="n"/>
      <c r="F65" s="257" t="n"/>
      <c r="G65" s="257" t="n"/>
      <c r="H65" s="257" t="n"/>
      <c r="I65" s="257" t="n"/>
      <c r="J65" s="257" t="n"/>
      <c r="K65" s="257" t="n"/>
      <c r="L65" s="257" t="n"/>
      <c r="M65" s="257" t="n"/>
      <c r="N65" s="257" t="n"/>
      <c r="O65" s="257" t="n"/>
      <c r="P65" s="257" t="n"/>
      <c r="Q65" s="257" t="n"/>
      <c r="R65" s="257" t="n"/>
      <c r="S65" s="257" t="n"/>
      <c r="T65" s="257" t="n"/>
      <c r="U65" s="257" t="n"/>
      <c r="V65" s="257" t="n"/>
      <c r="W65" s="257" t="n"/>
      <c r="X65" s="257" t="n"/>
      <c r="Y65" s="257" t="n"/>
      <c r="Z65" s="257" t="n"/>
    </row>
    <row r="66">
      <c r="A66" s="257" t="n"/>
      <c r="B66" s="257" t="n"/>
      <c r="C66" s="257" t="n"/>
      <c r="D66" s="257" t="n"/>
      <c r="E66" s="257" t="n"/>
      <c r="F66" s="257" t="n"/>
      <c r="G66" s="257" t="n"/>
      <c r="H66" s="257" t="n"/>
      <c r="I66" s="257" t="n"/>
      <c r="J66" s="257" t="n"/>
      <c r="K66" s="257" t="n"/>
      <c r="L66" s="257" t="n"/>
      <c r="M66" s="257" t="n"/>
      <c r="N66" s="257" t="n"/>
      <c r="O66" s="257" t="n"/>
      <c r="P66" s="257" t="n"/>
      <c r="Q66" s="257" t="n"/>
      <c r="R66" s="257" t="n"/>
      <c r="S66" s="257" t="n"/>
      <c r="T66" s="257" t="n"/>
      <c r="U66" s="257" t="n"/>
      <c r="V66" s="257" t="n"/>
      <c r="W66" s="257" t="n"/>
      <c r="X66" s="257" t="n"/>
      <c r="Y66" s="257" t="n"/>
      <c r="Z66" s="257" t="n"/>
    </row>
    <row r="67">
      <c r="A67" s="257" t="n"/>
      <c r="B67" s="257" t="n"/>
      <c r="C67" s="257" t="n"/>
      <c r="D67" s="257" t="n"/>
      <c r="E67" s="257" t="n"/>
      <c r="F67" s="257" t="n"/>
      <c r="G67" s="257" t="n"/>
      <c r="H67" s="257" t="n"/>
      <c r="I67" s="257" t="n"/>
      <c r="J67" s="257" t="n"/>
      <c r="K67" s="257" t="n"/>
      <c r="L67" s="257" t="n"/>
      <c r="M67" s="257" t="n"/>
      <c r="N67" s="257" t="n"/>
      <c r="O67" s="257" t="n"/>
      <c r="P67" s="257" t="n"/>
      <c r="Q67" s="257" t="n"/>
      <c r="R67" s="257" t="n"/>
      <c r="S67" s="257" t="n"/>
      <c r="T67" s="257" t="n"/>
      <c r="U67" s="257" t="n"/>
      <c r="V67" s="257" t="n"/>
      <c r="W67" s="257" t="n"/>
      <c r="X67" s="257" t="n"/>
      <c r="Y67" s="257" t="n"/>
      <c r="Z67" s="257" t="n"/>
    </row>
    <row r="68">
      <c r="A68" s="257" t="n"/>
      <c r="B68" s="257" t="n"/>
      <c r="C68" s="257" t="n"/>
      <c r="D68" s="257" t="n"/>
      <c r="E68" s="257" t="n"/>
      <c r="F68" s="257" t="n"/>
      <c r="G68" s="257" t="n"/>
      <c r="H68" s="257" t="n"/>
      <c r="I68" s="257" t="n"/>
      <c r="J68" s="257" t="n"/>
      <c r="K68" s="257" t="n"/>
      <c r="L68" s="257" t="n"/>
      <c r="M68" s="257" t="n"/>
      <c r="N68" s="257" t="n"/>
      <c r="O68" s="257" t="n"/>
      <c r="P68" s="257" t="n"/>
      <c r="Q68" s="257" t="n"/>
      <c r="R68" s="257" t="n"/>
      <c r="S68" s="257" t="n"/>
      <c r="T68" s="257" t="n"/>
      <c r="U68" s="257" t="n"/>
      <c r="V68" s="257" t="n"/>
      <c r="W68" s="257" t="n"/>
      <c r="X68" s="257" t="n"/>
      <c r="Y68" s="257" t="n"/>
      <c r="Z68" s="257" t="n"/>
    </row>
    <row r="69">
      <c r="A69" s="257" t="n"/>
      <c r="B69" s="257" t="n"/>
      <c r="C69" s="257" t="n"/>
      <c r="D69" s="257" t="n"/>
      <c r="E69" s="257" t="n"/>
      <c r="F69" s="257" t="n"/>
      <c r="G69" s="257" t="n"/>
      <c r="H69" s="257" t="n"/>
      <c r="I69" s="257" t="n"/>
      <c r="J69" s="257" t="n"/>
      <c r="K69" s="257" t="n"/>
      <c r="L69" s="257" t="n"/>
      <c r="M69" s="257" t="n"/>
      <c r="N69" s="257" t="n"/>
      <c r="O69" s="257" t="n"/>
      <c r="P69" s="257" t="n"/>
      <c r="Q69" s="257" t="n"/>
      <c r="R69" s="257" t="n"/>
      <c r="S69" s="257" t="n"/>
      <c r="T69" s="257" t="n"/>
      <c r="U69" s="257" t="n"/>
      <c r="V69" s="257" t="n"/>
      <c r="W69" s="257" t="n"/>
      <c r="X69" s="257" t="n"/>
      <c r="Y69" s="257" t="n"/>
      <c r="Z69" s="257" t="n"/>
    </row>
    <row r="70">
      <c r="A70" s="257" t="n"/>
      <c r="B70" s="257" t="n"/>
      <c r="C70" s="257" t="n"/>
      <c r="D70" s="257" t="n"/>
      <c r="E70" s="257" t="n"/>
      <c r="F70" s="257" t="n"/>
      <c r="G70" s="257" t="n"/>
      <c r="H70" s="257" t="n"/>
      <c r="I70" s="257" t="n"/>
      <c r="J70" s="257" t="n"/>
      <c r="K70" s="257" t="n"/>
      <c r="L70" s="257" t="n"/>
      <c r="M70" s="257" t="n"/>
      <c r="N70" s="257" t="n"/>
      <c r="O70" s="257" t="n"/>
      <c r="P70" s="257" t="n"/>
      <c r="Q70" s="257" t="n"/>
      <c r="R70" s="257" t="n"/>
      <c r="S70" s="257" t="n"/>
      <c r="T70" s="257" t="n"/>
      <c r="U70" s="257" t="n"/>
      <c r="V70" s="257" t="n"/>
      <c r="W70" s="257" t="n"/>
      <c r="X70" s="257" t="n"/>
      <c r="Y70" s="257" t="n"/>
      <c r="Z70" s="257" t="n"/>
    </row>
    <row r="71">
      <c r="A71" s="257" t="n"/>
      <c r="B71" s="257" t="n"/>
      <c r="C71" s="257" t="n"/>
      <c r="D71" s="257" t="n"/>
      <c r="E71" s="257" t="n"/>
      <c r="F71" s="257" t="n"/>
      <c r="G71" s="257" t="n"/>
      <c r="H71" s="257" t="n"/>
      <c r="I71" s="257" t="n"/>
      <c r="J71" s="257" t="n"/>
      <c r="K71" s="257" t="n"/>
      <c r="L71" s="257" t="n"/>
      <c r="M71" s="257" t="n"/>
      <c r="N71" s="257" t="n"/>
      <c r="O71" s="257" t="n"/>
      <c r="P71" s="257" t="n"/>
      <c r="Q71" s="257" t="n"/>
      <c r="R71" s="257" t="n"/>
      <c r="S71" s="257" t="n"/>
      <c r="T71" s="257" t="n"/>
      <c r="U71" s="257" t="n"/>
      <c r="V71" s="257" t="n"/>
      <c r="W71" s="257" t="n"/>
      <c r="X71" s="257" t="n"/>
      <c r="Y71" s="257" t="n"/>
      <c r="Z71" s="257" t="n"/>
    </row>
    <row r="72">
      <c r="A72" s="257" t="n"/>
      <c r="B72" s="257" t="n"/>
      <c r="C72" s="257" t="n"/>
      <c r="D72" s="257" t="n"/>
      <c r="E72" s="257" t="n"/>
      <c r="F72" s="257" t="n"/>
      <c r="G72" s="257" t="n"/>
      <c r="H72" s="257" t="n"/>
      <c r="I72" s="257" t="n"/>
      <c r="J72" s="257" t="n"/>
      <c r="K72" s="257" t="n"/>
      <c r="L72" s="257" t="n"/>
      <c r="M72" s="257" t="n"/>
      <c r="N72" s="257" t="n"/>
      <c r="O72" s="257" t="n"/>
      <c r="P72" s="257" t="n"/>
      <c r="Q72" s="257" t="n"/>
      <c r="R72" s="257" t="n"/>
      <c r="S72" s="257" t="n"/>
      <c r="T72" s="257" t="n"/>
      <c r="U72" s="257" t="n"/>
      <c r="V72" s="257" t="n"/>
      <c r="W72" s="257" t="n"/>
      <c r="X72" s="257" t="n"/>
      <c r="Y72" s="257" t="n"/>
      <c r="Z72" s="257" t="n"/>
    </row>
    <row r="73">
      <c r="A73" s="257" t="n"/>
      <c r="B73" s="257" t="n"/>
      <c r="C73" s="257" t="n"/>
      <c r="D73" s="257" t="n"/>
      <c r="E73" s="257" t="n"/>
      <c r="F73" s="257" t="n"/>
      <c r="G73" s="257" t="n"/>
      <c r="H73" s="257" t="n"/>
      <c r="I73" s="257" t="n"/>
      <c r="J73" s="257" t="n"/>
      <c r="K73" s="257" t="n"/>
      <c r="L73" s="257" t="n"/>
      <c r="M73" s="257" t="n"/>
      <c r="N73" s="257" t="n"/>
      <c r="O73" s="257" t="n"/>
      <c r="P73" s="257" t="n"/>
      <c r="Q73" s="257" t="n"/>
      <c r="R73" s="257" t="n"/>
      <c r="S73" s="257" t="n"/>
      <c r="T73" s="257" t="n"/>
      <c r="U73" s="257" t="n"/>
      <c r="V73" s="257" t="n"/>
      <c r="W73" s="257" t="n"/>
      <c r="X73" s="257" t="n"/>
      <c r="Y73" s="257" t="n"/>
      <c r="Z73" s="257" t="n"/>
    </row>
    <row r="74">
      <c r="A74" s="257" t="n"/>
      <c r="B74" s="257" t="n"/>
      <c r="C74" s="257" t="n"/>
      <c r="D74" s="257" t="n"/>
      <c r="E74" s="257" t="n"/>
      <c r="F74" s="257" t="n"/>
      <c r="G74" s="257" t="n"/>
      <c r="H74" s="257" t="n"/>
      <c r="I74" s="257" t="n"/>
      <c r="J74" s="257" t="n"/>
      <c r="K74" s="257" t="n"/>
      <c r="L74" s="257" t="n"/>
      <c r="M74" s="257" t="n"/>
      <c r="N74" s="257" t="n"/>
      <c r="O74" s="257" t="n"/>
      <c r="P74" s="257" t="n"/>
      <c r="Q74" s="257" t="n"/>
      <c r="R74" s="257" t="n"/>
      <c r="S74" s="257" t="n"/>
      <c r="T74" s="257" t="n"/>
      <c r="U74" s="257" t="n"/>
      <c r="V74" s="257" t="n"/>
      <c r="W74" s="257" t="n"/>
      <c r="X74" s="257" t="n"/>
      <c r="Y74" s="257" t="n"/>
      <c r="Z74" s="257" t="n"/>
    </row>
    <row r="75">
      <c r="A75" s="257" t="n"/>
      <c r="B75" s="257" t="n"/>
      <c r="C75" s="257" t="n"/>
      <c r="D75" s="257" t="n"/>
      <c r="E75" s="257" t="n"/>
      <c r="F75" s="257" t="n"/>
      <c r="G75" s="257" t="n"/>
      <c r="H75" s="257" t="n"/>
      <c r="I75" s="257" t="n"/>
      <c r="J75" s="257" t="n"/>
      <c r="K75" s="257" t="n"/>
      <c r="L75" s="257" t="n"/>
      <c r="M75" s="257" t="n"/>
      <c r="N75" s="257" t="n"/>
      <c r="O75" s="257" t="n"/>
      <c r="P75" s="257" t="n"/>
      <c r="Q75" s="257" t="n"/>
      <c r="R75" s="257" t="n"/>
      <c r="S75" s="257" t="n"/>
      <c r="T75" s="257" t="n"/>
      <c r="U75" s="257" t="n"/>
      <c r="V75" s="257" t="n"/>
      <c r="W75" s="257" t="n"/>
      <c r="X75" s="257" t="n"/>
      <c r="Y75" s="257" t="n"/>
      <c r="Z75" s="257" t="n"/>
    </row>
    <row r="76">
      <c r="A76" s="257" t="n"/>
      <c r="B76" s="257" t="n"/>
      <c r="C76" s="257" t="n"/>
      <c r="D76" s="257" t="n"/>
      <c r="E76" s="257" t="n"/>
      <c r="F76" s="257" t="n"/>
      <c r="G76" s="257" t="n"/>
      <c r="H76" s="257" t="n"/>
      <c r="I76" s="257" t="n"/>
      <c r="J76" s="257" t="n"/>
      <c r="K76" s="257" t="n"/>
      <c r="L76" s="257" t="n"/>
      <c r="M76" s="257" t="n"/>
      <c r="N76" s="257" t="n"/>
      <c r="O76" s="257" t="n"/>
      <c r="P76" s="257" t="n"/>
      <c r="Q76" s="257" t="n"/>
      <c r="R76" s="257" t="n"/>
      <c r="S76" s="257" t="n"/>
      <c r="T76" s="257" t="n"/>
      <c r="U76" s="257" t="n"/>
      <c r="V76" s="257" t="n"/>
      <c r="W76" s="257" t="n"/>
      <c r="X76" s="257" t="n"/>
      <c r="Y76" s="257" t="n"/>
      <c r="Z76" s="257" t="n"/>
    </row>
    <row r="77">
      <c r="A77" s="257" t="n"/>
      <c r="B77" s="257" t="n"/>
      <c r="C77" s="257" t="n"/>
      <c r="D77" s="257" t="n"/>
      <c r="E77" s="257" t="n"/>
      <c r="F77" s="257" t="n"/>
      <c r="G77" s="257" t="n"/>
      <c r="H77" s="257" t="n"/>
      <c r="I77" s="257" t="n"/>
      <c r="J77" s="257" t="n"/>
      <c r="K77" s="257" t="n"/>
      <c r="L77" s="257" t="n"/>
      <c r="M77" s="257" t="n"/>
      <c r="N77" s="257" t="n"/>
      <c r="O77" s="257" t="n"/>
      <c r="P77" s="257" t="n"/>
      <c r="Q77" s="257" t="n"/>
      <c r="R77" s="257" t="n"/>
      <c r="S77" s="257" t="n"/>
      <c r="T77" s="257" t="n"/>
      <c r="U77" s="257" t="n"/>
      <c r="V77" s="257" t="n"/>
      <c r="W77" s="257" t="n"/>
      <c r="X77" s="257" t="n"/>
      <c r="Y77" s="257" t="n"/>
      <c r="Z77" s="257" t="n"/>
    </row>
    <row r="78">
      <c r="A78" s="257" t="n"/>
      <c r="B78" s="257" t="n"/>
      <c r="C78" s="257" t="n"/>
      <c r="D78" s="257" t="n"/>
      <c r="E78" s="257" t="n"/>
      <c r="F78" s="257" t="n"/>
      <c r="G78" s="257" t="n"/>
      <c r="H78" s="257" t="n"/>
      <c r="I78" s="257" t="n"/>
      <c r="J78" s="257" t="n"/>
      <c r="K78" s="257" t="n"/>
      <c r="L78" s="257" t="n"/>
      <c r="M78" s="257" t="n"/>
      <c r="N78" s="257" t="n"/>
      <c r="O78" s="257" t="n"/>
      <c r="P78" s="257" t="n"/>
      <c r="Q78" s="257" t="n"/>
      <c r="R78" s="257" t="n"/>
      <c r="S78" s="257" t="n"/>
      <c r="T78" s="257" t="n"/>
      <c r="U78" s="257" t="n"/>
      <c r="V78" s="257" t="n"/>
      <c r="W78" s="257" t="n"/>
      <c r="X78" s="257" t="n"/>
      <c r="Y78" s="257" t="n"/>
      <c r="Z78" s="257" t="n"/>
    </row>
    <row r="79">
      <c r="A79" s="257" t="n"/>
      <c r="B79" s="257" t="n"/>
      <c r="C79" s="257" t="n"/>
      <c r="D79" s="257" t="n"/>
      <c r="E79" s="257" t="n"/>
      <c r="F79" s="257" t="n"/>
      <c r="G79" s="257" t="n"/>
      <c r="H79" s="257" t="n"/>
      <c r="I79" s="257" t="n"/>
      <c r="J79" s="257" t="n"/>
      <c r="K79" s="257" t="n"/>
      <c r="L79" s="257" t="n"/>
      <c r="M79" s="257" t="n"/>
      <c r="N79" s="257" t="n"/>
      <c r="O79" s="257" t="n"/>
      <c r="P79" s="257" t="n"/>
      <c r="Q79" s="257" t="n"/>
      <c r="R79" s="257" t="n"/>
      <c r="S79" s="257" t="n"/>
      <c r="T79" s="257" t="n"/>
      <c r="U79" s="257" t="n"/>
      <c r="V79" s="257" t="n"/>
      <c r="W79" s="257" t="n"/>
      <c r="X79" s="257" t="n"/>
      <c r="Y79" s="257" t="n"/>
      <c r="Z79" s="257" t="n"/>
    </row>
    <row r="80">
      <c r="A80" s="257" t="n"/>
      <c r="B80" s="257" t="n"/>
      <c r="C80" s="257" t="n"/>
      <c r="D80" s="257" t="n"/>
      <c r="E80" s="257" t="n"/>
      <c r="F80" s="257" t="n"/>
      <c r="G80" s="257" t="n"/>
      <c r="H80" s="257" t="n"/>
      <c r="I80" s="257" t="n"/>
      <c r="J80" s="257" t="n"/>
      <c r="K80" s="257" t="n"/>
      <c r="L80" s="257" t="n"/>
      <c r="M80" s="257" t="n"/>
      <c r="N80" s="257" t="n"/>
      <c r="O80" s="257" t="n"/>
      <c r="P80" s="257" t="n"/>
      <c r="Q80" s="257" t="n"/>
      <c r="R80" s="257" t="n"/>
      <c r="S80" s="257" t="n"/>
      <c r="T80" s="257" t="n"/>
      <c r="U80" s="257" t="n"/>
      <c r="V80" s="257" t="n"/>
      <c r="W80" s="257" t="n"/>
      <c r="X80" s="257" t="n"/>
      <c r="Y80" s="257" t="n"/>
      <c r="Z80" s="257" t="n"/>
    </row>
    <row r="81">
      <c r="A81" s="257" t="n"/>
      <c r="B81" s="257" t="n"/>
      <c r="C81" s="257" t="n"/>
      <c r="D81" s="257" t="n"/>
      <c r="E81" s="257" t="n"/>
      <c r="F81" s="257" t="n"/>
      <c r="G81" s="257" t="n"/>
      <c r="H81" s="257" t="n"/>
      <c r="I81" s="257" t="n"/>
      <c r="J81" s="257" t="n"/>
      <c r="K81" s="257" t="n"/>
      <c r="L81" s="257" t="n"/>
      <c r="M81" s="257" t="n"/>
      <c r="N81" s="257" t="n"/>
      <c r="O81" s="257" t="n"/>
      <c r="P81" s="257" t="n"/>
      <c r="Q81" s="257" t="n"/>
      <c r="R81" s="257" t="n"/>
      <c r="S81" s="257" t="n"/>
      <c r="T81" s="257" t="n"/>
      <c r="U81" s="257" t="n"/>
      <c r="V81" s="257" t="n"/>
      <c r="W81" s="257" t="n"/>
      <c r="X81" s="257" t="n"/>
      <c r="Y81" s="257" t="n"/>
      <c r="Z81" s="257" t="n"/>
    </row>
    <row r="82">
      <c r="A82" s="257" t="n"/>
      <c r="B82" s="257" t="n"/>
      <c r="C82" s="257" t="n"/>
      <c r="D82" s="257" t="n"/>
      <c r="E82" s="257" t="n"/>
      <c r="F82" s="257" t="n"/>
      <c r="G82" s="257" t="n"/>
      <c r="H82" s="257" t="n"/>
      <c r="I82" s="257" t="n"/>
      <c r="J82" s="257" t="n"/>
      <c r="K82" s="257" t="n"/>
      <c r="L82" s="257" t="n"/>
      <c r="M82" s="257" t="n"/>
      <c r="N82" s="257" t="n"/>
      <c r="O82" s="257" t="n"/>
      <c r="P82" s="257" t="n"/>
      <c r="Q82" s="257" t="n"/>
      <c r="R82" s="257" t="n"/>
      <c r="S82" s="257" t="n"/>
      <c r="T82" s="257" t="n"/>
      <c r="U82" s="257" t="n"/>
      <c r="V82" s="257" t="n"/>
      <c r="W82" s="257" t="n"/>
      <c r="X82" s="257" t="n"/>
      <c r="Y82" s="257" t="n"/>
      <c r="Z82" s="257" t="n"/>
    </row>
    <row r="83">
      <c r="A83" s="257" t="n"/>
      <c r="B83" s="257" t="n"/>
      <c r="C83" s="257" t="n"/>
      <c r="D83" s="257" t="n"/>
      <c r="E83" s="257" t="n"/>
      <c r="F83" s="257" t="n"/>
      <c r="G83" s="257" t="n"/>
      <c r="H83" s="257" t="n"/>
      <c r="I83" s="257" t="n"/>
      <c r="J83" s="257" t="n"/>
      <c r="K83" s="257" t="n"/>
      <c r="L83" s="257" t="n"/>
      <c r="M83" s="257" t="n"/>
      <c r="N83" s="257" t="n"/>
      <c r="O83" s="257" t="n"/>
      <c r="P83" s="257" t="n"/>
      <c r="Q83" s="257" t="n"/>
      <c r="R83" s="257" t="n"/>
      <c r="S83" s="257" t="n"/>
      <c r="T83" s="257" t="n"/>
      <c r="U83" s="257" t="n"/>
      <c r="V83" s="257" t="n"/>
      <c r="W83" s="257" t="n"/>
      <c r="X83" s="257" t="n"/>
      <c r="Y83" s="257" t="n"/>
      <c r="Z83" s="257" t="n"/>
    </row>
    <row r="84">
      <c r="A84" s="257" t="n"/>
      <c r="B84" s="257" t="n"/>
      <c r="C84" s="257" t="n"/>
      <c r="D84" s="257" t="n"/>
      <c r="E84" s="257" t="n"/>
      <c r="F84" s="257" t="n"/>
      <c r="G84" s="257" t="n"/>
      <c r="H84" s="257" t="n"/>
      <c r="I84" s="257" t="n"/>
      <c r="J84" s="257" t="n"/>
      <c r="K84" s="257" t="n"/>
      <c r="L84" s="257" t="n"/>
      <c r="M84" s="257" t="n"/>
      <c r="N84" s="257" t="n"/>
      <c r="O84" s="257" t="n"/>
      <c r="P84" s="257" t="n"/>
      <c r="Q84" s="257" t="n"/>
      <c r="R84" s="257" t="n"/>
      <c r="S84" s="257" t="n"/>
      <c r="T84" s="257" t="n"/>
      <c r="U84" s="257" t="n"/>
      <c r="V84" s="257" t="n"/>
      <c r="W84" s="257" t="n"/>
      <c r="X84" s="257" t="n"/>
      <c r="Y84" s="257" t="n"/>
      <c r="Z84" s="257" t="n"/>
    </row>
    <row r="85">
      <c r="A85" s="257" t="n"/>
      <c r="B85" s="257" t="n"/>
      <c r="C85" s="257" t="n"/>
      <c r="D85" s="257" t="n"/>
      <c r="E85" s="257" t="n"/>
      <c r="F85" s="257" t="n"/>
      <c r="G85" s="257" t="n"/>
      <c r="H85" s="257" t="n"/>
      <c r="I85" s="257" t="n"/>
      <c r="J85" s="257" t="n"/>
      <c r="K85" s="257" t="n"/>
      <c r="L85" s="257" t="n"/>
      <c r="M85" s="257" t="n"/>
      <c r="N85" s="257" t="n"/>
      <c r="O85" s="257" t="n"/>
      <c r="P85" s="257" t="n"/>
      <c r="Q85" s="257" t="n"/>
      <c r="R85" s="257" t="n"/>
      <c r="S85" s="257" t="n"/>
      <c r="T85" s="257" t="n"/>
      <c r="U85" s="257" t="n"/>
      <c r="V85" s="257" t="n"/>
      <c r="W85" s="257" t="n"/>
      <c r="X85" s="257" t="n"/>
      <c r="Y85" s="257" t="n"/>
      <c r="Z85" s="257" t="n"/>
    </row>
    <row r="86">
      <c r="A86" s="257" t="n"/>
      <c r="B86" s="257" t="n"/>
      <c r="C86" s="257" t="n"/>
      <c r="D86" s="257" t="n"/>
      <c r="E86" s="257" t="n"/>
      <c r="F86" s="257" t="n"/>
      <c r="G86" s="257" t="n"/>
      <c r="H86" s="257" t="n"/>
      <c r="I86" s="257" t="n"/>
      <c r="J86" s="257" t="n"/>
      <c r="K86" s="257" t="n"/>
      <c r="L86" s="257" t="n"/>
      <c r="M86" s="257" t="n"/>
      <c r="N86" s="257" t="n"/>
      <c r="O86" s="257" t="n"/>
      <c r="P86" s="257" t="n"/>
      <c r="Q86" s="257" t="n"/>
      <c r="R86" s="257" t="n"/>
      <c r="S86" s="257" t="n"/>
      <c r="T86" s="257" t="n"/>
      <c r="U86" s="257" t="n"/>
      <c r="V86" s="257" t="n"/>
      <c r="W86" s="257" t="n"/>
      <c r="X86" s="257" t="n"/>
      <c r="Y86" s="257" t="n"/>
      <c r="Z86" s="257" t="n"/>
    </row>
    <row r="87">
      <c r="A87" s="257" t="n"/>
      <c r="B87" s="257" t="n"/>
      <c r="C87" s="257" t="n"/>
      <c r="D87" s="257" t="n"/>
      <c r="E87" s="257" t="n"/>
      <c r="F87" s="257" t="n"/>
      <c r="G87" s="257" t="n"/>
      <c r="H87" s="257" t="n"/>
      <c r="I87" s="257" t="n"/>
      <c r="J87" s="257" t="n"/>
      <c r="K87" s="257" t="n"/>
      <c r="L87" s="257" t="n"/>
      <c r="M87" s="257" t="n"/>
      <c r="N87" s="257" t="n"/>
      <c r="O87" s="257" t="n"/>
      <c r="P87" s="257" t="n"/>
      <c r="Q87" s="257" t="n"/>
      <c r="R87" s="257" t="n"/>
      <c r="S87" s="257" t="n"/>
      <c r="T87" s="257" t="n"/>
      <c r="U87" s="257" t="n"/>
      <c r="V87" s="257" t="n"/>
      <c r="W87" s="257" t="n"/>
      <c r="X87" s="257" t="n"/>
      <c r="Y87" s="257" t="n"/>
      <c r="Z87" s="257" t="n"/>
    </row>
    <row r="88">
      <c r="A88" s="257" t="n"/>
      <c r="B88" s="257" t="n"/>
      <c r="C88" s="257" t="n"/>
      <c r="D88" s="257" t="n"/>
      <c r="E88" s="257" t="n"/>
      <c r="F88" s="257" t="n"/>
      <c r="G88" s="257" t="n"/>
      <c r="H88" s="257" t="n"/>
      <c r="I88" s="257" t="n"/>
      <c r="J88" s="257" t="n"/>
      <c r="K88" s="257" t="n"/>
      <c r="L88" s="257" t="n"/>
      <c r="M88" s="257" t="n"/>
      <c r="N88" s="257" t="n"/>
      <c r="O88" s="257" t="n"/>
      <c r="P88" s="257" t="n"/>
      <c r="Q88" s="257" t="n"/>
      <c r="R88" s="257" t="n"/>
      <c r="S88" s="257" t="n"/>
      <c r="T88" s="257" t="n"/>
      <c r="U88" s="257" t="n"/>
      <c r="V88" s="257" t="n"/>
      <c r="W88" s="257" t="n"/>
      <c r="X88" s="257" t="n"/>
      <c r="Y88" s="257" t="n"/>
      <c r="Z88" s="257" t="n"/>
    </row>
    <row r="89">
      <c r="A89" s="257" t="n"/>
      <c r="B89" s="257" t="n"/>
      <c r="C89" s="257" t="n"/>
      <c r="D89" s="257" t="n"/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7" t="n"/>
      <c r="Y89" s="257" t="n"/>
      <c r="Z89" s="257" t="n"/>
    </row>
    <row r="90">
      <c r="A90" s="257" t="n"/>
      <c r="B90" s="257" t="n"/>
      <c r="C90" s="257" t="n"/>
      <c r="D90" s="257" t="n"/>
      <c r="E90" s="257" t="n"/>
      <c r="F90" s="257" t="n"/>
      <c r="G90" s="257" t="n"/>
      <c r="H90" s="257" t="n"/>
      <c r="I90" s="257" t="n"/>
      <c r="J90" s="257" t="n"/>
      <c r="K90" s="257" t="n"/>
      <c r="L90" s="257" t="n"/>
      <c r="M90" s="257" t="n"/>
      <c r="N90" s="257" t="n"/>
      <c r="O90" s="257" t="n"/>
      <c r="P90" s="257" t="n"/>
      <c r="Q90" s="257" t="n"/>
      <c r="R90" s="257" t="n"/>
      <c r="S90" s="257" t="n"/>
      <c r="T90" s="257" t="n"/>
      <c r="U90" s="257" t="n"/>
      <c r="V90" s="257" t="n"/>
      <c r="W90" s="257" t="n"/>
      <c r="X90" s="257" t="n"/>
      <c r="Y90" s="257" t="n"/>
      <c r="Z90" s="257" t="n"/>
    </row>
    <row r="91">
      <c r="A91" s="257" t="n"/>
      <c r="B91" s="257" t="n"/>
      <c r="C91" s="257" t="n"/>
      <c r="D91" s="257" t="n"/>
      <c r="E91" s="257" t="n"/>
      <c r="F91" s="257" t="n"/>
      <c r="G91" s="257" t="n"/>
      <c r="H91" s="257" t="n"/>
      <c r="I91" s="257" t="n"/>
      <c r="J91" s="257" t="n"/>
      <c r="K91" s="257" t="n"/>
      <c r="L91" s="257" t="n"/>
      <c r="M91" s="257" t="n"/>
      <c r="N91" s="257" t="n"/>
      <c r="O91" s="257" t="n"/>
      <c r="P91" s="257" t="n"/>
      <c r="Q91" s="257" t="n"/>
      <c r="R91" s="257" t="n"/>
      <c r="S91" s="257" t="n"/>
      <c r="T91" s="257" t="n"/>
      <c r="U91" s="257" t="n"/>
      <c r="V91" s="257" t="n"/>
      <c r="W91" s="257" t="n"/>
      <c r="X91" s="257" t="n"/>
      <c r="Y91" s="257" t="n"/>
      <c r="Z91" s="257" t="n"/>
    </row>
    <row r="92">
      <c r="A92" s="257" t="n"/>
      <c r="B92" s="257" t="n"/>
      <c r="C92" s="257" t="n"/>
      <c r="D92" s="257" t="n"/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7" t="n"/>
      <c r="Y92" s="257" t="n"/>
      <c r="Z92" s="257" t="n"/>
    </row>
    <row r="93">
      <c r="A93" s="257" t="n"/>
      <c r="B93" s="257" t="n"/>
      <c r="C93" s="257" t="n"/>
      <c r="D93" s="257" t="n"/>
      <c r="E93" s="257" t="n"/>
      <c r="F93" s="257" t="n"/>
      <c r="G93" s="257" t="n"/>
      <c r="H93" s="257" t="n"/>
      <c r="I93" s="257" t="n"/>
      <c r="J93" s="257" t="n"/>
      <c r="K93" s="257" t="n"/>
      <c r="L93" s="257" t="n"/>
      <c r="M93" s="257" t="n"/>
      <c r="N93" s="257" t="n"/>
      <c r="O93" s="257" t="n"/>
      <c r="P93" s="257" t="n"/>
      <c r="Q93" s="257" t="n"/>
      <c r="R93" s="257" t="n"/>
      <c r="S93" s="257" t="n"/>
      <c r="T93" s="257" t="n"/>
      <c r="U93" s="257" t="n"/>
      <c r="V93" s="257" t="n"/>
      <c r="W93" s="257" t="n"/>
      <c r="X93" s="257" t="n"/>
      <c r="Y93" s="257" t="n"/>
      <c r="Z93" s="257" t="n"/>
    </row>
    <row r="94">
      <c r="A94" s="257" t="n"/>
      <c r="B94" s="257" t="n"/>
      <c r="C94" s="257" t="n"/>
      <c r="D94" s="257" t="n"/>
      <c r="E94" s="257" t="n"/>
      <c r="F94" s="257" t="n"/>
      <c r="G94" s="257" t="n"/>
      <c r="H94" s="257" t="n"/>
      <c r="I94" s="257" t="n"/>
      <c r="J94" s="257" t="n"/>
      <c r="K94" s="257" t="n"/>
      <c r="L94" s="257" t="n"/>
      <c r="M94" s="257" t="n"/>
      <c r="N94" s="257" t="n"/>
      <c r="O94" s="257" t="n"/>
      <c r="P94" s="257" t="n"/>
      <c r="Q94" s="257" t="n"/>
      <c r="R94" s="257" t="n"/>
      <c r="S94" s="257" t="n"/>
      <c r="T94" s="257" t="n"/>
      <c r="U94" s="257" t="n"/>
      <c r="V94" s="257" t="n"/>
      <c r="W94" s="257" t="n"/>
      <c r="X94" s="257" t="n"/>
      <c r="Y94" s="257" t="n"/>
      <c r="Z94" s="257" t="n"/>
    </row>
    <row r="95">
      <c r="A95" s="257" t="n"/>
      <c r="B95" s="257" t="n"/>
      <c r="C95" s="257" t="n"/>
      <c r="D95" s="257" t="n"/>
      <c r="E95" s="257" t="n"/>
      <c r="F95" s="257" t="n"/>
      <c r="G95" s="257" t="n"/>
      <c r="H95" s="257" t="n"/>
      <c r="I95" s="257" t="n"/>
      <c r="J95" s="257" t="n"/>
      <c r="K95" s="257" t="n"/>
      <c r="L95" s="257" t="n"/>
      <c r="M95" s="257" t="n"/>
      <c r="N95" s="257" t="n"/>
      <c r="O95" s="257" t="n"/>
      <c r="P95" s="257" t="n"/>
      <c r="Q95" s="257" t="n"/>
      <c r="R95" s="257" t="n"/>
      <c r="S95" s="257" t="n"/>
      <c r="T95" s="257" t="n"/>
      <c r="U95" s="257" t="n"/>
      <c r="V95" s="257" t="n"/>
      <c r="W95" s="257" t="n"/>
      <c r="X95" s="257" t="n"/>
      <c r="Y95" s="257" t="n"/>
      <c r="Z95" s="257" t="n"/>
    </row>
    <row r="96">
      <c r="A96" s="257" t="n"/>
      <c r="B96" s="257" t="n"/>
      <c r="C96" s="257" t="n"/>
      <c r="D96" s="257" t="n"/>
      <c r="E96" s="257" t="n"/>
      <c r="F96" s="257" t="n"/>
      <c r="G96" s="257" t="n"/>
      <c r="H96" s="257" t="n"/>
      <c r="I96" s="257" t="n"/>
      <c r="J96" s="257" t="n"/>
      <c r="K96" s="257" t="n"/>
      <c r="L96" s="257" t="n"/>
      <c r="M96" s="257" t="n"/>
      <c r="N96" s="257" t="n"/>
      <c r="O96" s="257" t="n"/>
      <c r="P96" s="257" t="n"/>
      <c r="Q96" s="257" t="n"/>
      <c r="R96" s="257" t="n"/>
      <c r="S96" s="257" t="n"/>
      <c r="T96" s="257" t="n"/>
      <c r="U96" s="257" t="n"/>
      <c r="V96" s="257" t="n"/>
      <c r="W96" s="257" t="n"/>
      <c r="X96" s="257" t="n"/>
      <c r="Y96" s="257" t="n"/>
      <c r="Z96" s="257" t="n"/>
    </row>
    <row r="97">
      <c r="A97" s="257" t="n"/>
      <c r="B97" s="257" t="n"/>
      <c r="C97" s="257" t="n"/>
      <c r="D97" s="257" t="n"/>
      <c r="E97" s="257" t="n"/>
      <c r="F97" s="257" t="n"/>
      <c r="G97" s="257" t="n"/>
      <c r="H97" s="257" t="n"/>
      <c r="I97" s="257" t="n"/>
      <c r="J97" s="257" t="n"/>
      <c r="K97" s="257" t="n"/>
      <c r="L97" s="257" t="n"/>
      <c r="M97" s="257" t="n"/>
      <c r="N97" s="257" t="n"/>
      <c r="O97" s="257" t="n"/>
      <c r="P97" s="257" t="n"/>
      <c r="Q97" s="257" t="n"/>
      <c r="R97" s="257" t="n"/>
      <c r="S97" s="257" t="n"/>
      <c r="T97" s="257" t="n"/>
      <c r="U97" s="257" t="n"/>
      <c r="V97" s="257" t="n"/>
      <c r="W97" s="257" t="n"/>
      <c r="X97" s="257" t="n"/>
      <c r="Y97" s="257" t="n"/>
      <c r="Z97" s="257" t="n"/>
    </row>
    <row r="98">
      <c r="A98" s="257" t="n"/>
      <c r="B98" s="257" t="n"/>
      <c r="C98" s="257" t="n"/>
      <c r="D98" s="257" t="n"/>
      <c r="E98" s="257" t="n"/>
      <c r="F98" s="257" t="n"/>
      <c r="G98" s="257" t="n"/>
      <c r="H98" s="257" t="n"/>
      <c r="I98" s="257" t="n"/>
      <c r="J98" s="257" t="n"/>
      <c r="K98" s="257" t="n"/>
      <c r="L98" s="257" t="n"/>
      <c r="M98" s="257" t="n"/>
      <c r="N98" s="257" t="n"/>
      <c r="O98" s="257" t="n"/>
      <c r="P98" s="257" t="n"/>
      <c r="Q98" s="257" t="n"/>
      <c r="R98" s="257" t="n"/>
      <c r="S98" s="257" t="n"/>
      <c r="T98" s="257" t="n"/>
      <c r="U98" s="257" t="n"/>
      <c r="V98" s="257" t="n"/>
      <c r="W98" s="257" t="n"/>
      <c r="X98" s="257" t="n"/>
      <c r="Y98" s="257" t="n"/>
      <c r="Z98" s="257" t="n"/>
    </row>
    <row r="99">
      <c r="A99" s="257" t="n"/>
      <c r="B99" s="257" t="n"/>
      <c r="C99" s="257" t="n"/>
      <c r="D99" s="257" t="n"/>
      <c r="E99" s="257" t="n"/>
      <c r="F99" s="257" t="n"/>
      <c r="G99" s="257" t="n"/>
      <c r="H99" s="257" t="n"/>
      <c r="I99" s="257" t="n"/>
      <c r="J99" s="257" t="n"/>
      <c r="K99" s="257" t="n"/>
      <c r="L99" s="257" t="n"/>
      <c r="M99" s="257" t="n"/>
      <c r="N99" s="257" t="n"/>
      <c r="O99" s="257" t="n"/>
      <c r="P99" s="257" t="n"/>
      <c r="Q99" s="257" t="n"/>
      <c r="R99" s="257" t="n"/>
      <c r="S99" s="257" t="n"/>
      <c r="T99" s="257" t="n"/>
      <c r="U99" s="257" t="n"/>
      <c r="V99" s="257" t="n"/>
      <c r="W99" s="257" t="n"/>
      <c r="X99" s="257" t="n"/>
      <c r="Y99" s="257" t="n"/>
      <c r="Z99" s="257" t="n"/>
    </row>
    <row r="100">
      <c r="A100" s="257" t="n"/>
      <c r="B100" s="257" t="n"/>
      <c r="C100" s="257" t="n"/>
      <c r="D100" s="257" t="n"/>
      <c r="E100" s="257" t="n"/>
      <c r="F100" s="257" t="n"/>
      <c r="G100" s="257" t="n"/>
      <c r="H100" s="257" t="n"/>
      <c r="I100" s="257" t="n"/>
      <c r="J100" s="257" t="n"/>
      <c r="K100" s="257" t="n"/>
      <c r="L100" s="257" t="n"/>
      <c r="M100" s="257" t="n"/>
      <c r="N100" s="257" t="n"/>
      <c r="O100" s="257" t="n"/>
      <c r="P100" s="257" t="n"/>
      <c r="Q100" s="257" t="n"/>
      <c r="R100" s="257" t="n"/>
      <c r="S100" s="257" t="n"/>
      <c r="T100" s="257" t="n"/>
      <c r="U100" s="257" t="n"/>
      <c r="V100" s="257" t="n"/>
      <c r="W100" s="257" t="n"/>
      <c r="X100" s="257" t="n"/>
      <c r="Y100" s="257" t="n"/>
      <c r="Z100" s="257" t="n"/>
    </row>
    <row r="101">
      <c r="A101" s="257" t="n"/>
      <c r="B101" s="257" t="n"/>
      <c r="C101" s="257" t="n"/>
      <c r="D101" s="257" t="n"/>
      <c r="E101" s="257" t="n"/>
      <c r="F101" s="257" t="n"/>
      <c r="G101" s="257" t="n"/>
      <c r="H101" s="257" t="n"/>
      <c r="I101" s="257" t="n"/>
      <c r="J101" s="257" t="n"/>
      <c r="K101" s="257" t="n"/>
      <c r="L101" s="257" t="n"/>
      <c r="M101" s="257" t="n"/>
      <c r="N101" s="257" t="n"/>
      <c r="O101" s="257" t="n"/>
      <c r="P101" s="257" t="n"/>
      <c r="Q101" s="257" t="n"/>
      <c r="R101" s="257" t="n"/>
      <c r="S101" s="257" t="n"/>
      <c r="T101" s="257" t="n"/>
      <c r="U101" s="257" t="n"/>
      <c r="V101" s="257" t="n"/>
      <c r="W101" s="257" t="n"/>
      <c r="X101" s="257" t="n"/>
      <c r="Y101" s="257" t="n"/>
      <c r="Z101" s="257" t="n"/>
    </row>
    <row r="102">
      <c r="A102" s="257" t="n"/>
      <c r="B102" s="257" t="n"/>
      <c r="C102" s="257" t="n"/>
      <c r="D102" s="257" t="n"/>
      <c r="E102" s="257" t="n"/>
      <c r="F102" s="257" t="n"/>
      <c r="G102" s="257" t="n"/>
      <c r="H102" s="257" t="n"/>
      <c r="I102" s="257" t="n"/>
      <c r="J102" s="257" t="n"/>
      <c r="K102" s="257" t="n"/>
      <c r="L102" s="257" t="n"/>
      <c r="M102" s="257" t="n"/>
      <c r="N102" s="257" t="n"/>
      <c r="O102" s="257" t="n"/>
      <c r="P102" s="257" t="n"/>
      <c r="Q102" s="257" t="n"/>
      <c r="R102" s="257" t="n"/>
      <c r="S102" s="257" t="n"/>
      <c r="T102" s="257" t="n"/>
      <c r="U102" s="257" t="n"/>
      <c r="V102" s="257" t="n"/>
      <c r="W102" s="257" t="n"/>
      <c r="X102" s="257" t="n"/>
      <c r="Y102" s="257" t="n"/>
      <c r="Z102" s="257" t="n"/>
    </row>
    <row r="103">
      <c r="A103" s="257" t="n"/>
      <c r="B103" s="257" t="n"/>
      <c r="C103" s="257" t="n"/>
      <c r="D103" s="257" t="n"/>
      <c r="E103" s="257" t="n"/>
      <c r="F103" s="257" t="n"/>
      <c r="G103" s="257" t="n"/>
      <c r="H103" s="257" t="n"/>
      <c r="I103" s="257" t="n"/>
      <c r="J103" s="257" t="n"/>
      <c r="K103" s="257" t="n"/>
      <c r="L103" s="257" t="n"/>
      <c r="M103" s="257" t="n"/>
      <c r="N103" s="257" t="n"/>
      <c r="O103" s="257" t="n"/>
      <c r="P103" s="257" t="n"/>
      <c r="Q103" s="257" t="n"/>
      <c r="R103" s="257" t="n"/>
      <c r="S103" s="257" t="n"/>
      <c r="T103" s="257" t="n"/>
      <c r="U103" s="257" t="n"/>
      <c r="V103" s="257" t="n"/>
      <c r="W103" s="257" t="n"/>
      <c r="X103" s="257" t="n"/>
      <c r="Y103" s="257" t="n"/>
      <c r="Z103" s="257" t="n"/>
    </row>
    <row r="104">
      <c r="A104" s="257" t="n"/>
      <c r="B104" s="257" t="n"/>
      <c r="C104" s="257" t="n"/>
      <c r="D104" s="257" t="n"/>
      <c r="E104" s="257" t="n"/>
      <c r="F104" s="257" t="n"/>
      <c r="G104" s="257" t="n"/>
      <c r="H104" s="257" t="n"/>
      <c r="I104" s="257" t="n"/>
      <c r="J104" s="257" t="n"/>
      <c r="K104" s="257" t="n"/>
      <c r="L104" s="257" t="n"/>
      <c r="M104" s="257" t="n"/>
      <c r="N104" s="257" t="n"/>
      <c r="O104" s="257" t="n"/>
      <c r="P104" s="257" t="n"/>
      <c r="Q104" s="257" t="n"/>
      <c r="R104" s="257" t="n"/>
      <c r="S104" s="257" t="n"/>
      <c r="T104" s="257" t="n"/>
      <c r="U104" s="257" t="n"/>
      <c r="V104" s="257" t="n"/>
      <c r="W104" s="257" t="n"/>
      <c r="X104" s="257" t="n"/>
      <c r="Y104" s="257" t="n"/>
      <c r="Z104" s="257" t="n"/>
    </row>
    <row r="105">
      <c r="A105" s="257" t="n"/>
      <c r="B105" s="257" t="n"/>
      <c r="C105" s="257" t="n"/>
      <c r="D105" s="257" t="n"/>
      <c r="E105" s="257" t="n"/>
      <c r="F105" s="257" t="n"/>
      <c r="G105" s="257" t="n"/>
      <c r="H105" s="257" t="n"/>
      <c r="I105" s="257" t="n"/>
      <c r="J105" s="257" t="n"/>
      <c r="K105" s="257" t="n"/>
      <c r="L105" s="257" t="n"/>
      <c r="M105" s="257" t="n"/>
      <c r="N105" s="257" t="n"/>
      <c r="O105" s="257" t="n"/>
      <c r="P105" s="257" t="n"/>
      <c r="Q105" s="257" t="n"/>
      <c r="R105" s="257" t="n"/>
      <c r="S105" s="257" t="n"/>
      <c r="T105" s="257" t="n"/>
      <c r="U105" s="257" t="n"/>
      <c r="V105" s="257" t="n"/>
      <c r="W105" s="257" t="n"/>
      <c r="X105" s="257" t="n"/>
      <c r="Y105" s="257" t="n"/>
      <c r="Z105" s="257" t="n"/>
    </row>
    <row r="106">
      <c r="A106" s="257" t="n"/>
      <c r="B106" s="257" t="n"/>
      <c r="C106" s="257" t="n"/>
      <c r="D106" s="257" t="n"/>
      <c r="E106" s="257" t="n"/>
      <c r="F106" s="257" t="n"/>
      <c r="G106" s="257" t="n"/>
      <c r="H106" s="257" t="n"/>
      <c r="I106" s="257" t="n"/>
      <c r="J106" s="257" t="n"/>
      <c r="K106" s="257" t="n"/>
      <c r="L106" s="257" t="n"/>
      <c r="M106" s="257" t="n"/>
      <c r="N106" s="257" t="n"/>
      <c r="O106" s="257" t="n"/>
      <c r="P106" s="257" t="n"/>
      <c r="Q106" s="257" t="n"/>
      <c r="R106" s="257" t="n"/>
      <c r="S106" s="257" t="n"/>
      <c r="T106" s="257" t="n"/>
      <c r="U106" s="257" t="n"/>
      <c r="V106" s="257" t="n"/>
      <c r="W106" s="257" t="n"/>
      <c r="X106" s="257" t="n"/>
      <c r="Y106" s="257" t="n"/>
      <c r="Z106" s="257" t="n"/>
    </row>
    <row r="107">
      <c r="A107" s="257" t="n"/>
      <c r="B107" s="257" t="n"/>
      <c r="C107" s="257" t="n"/>
      <c r="D107" s="257" t="n"/>
      <c r="E107" s="257" t="n"/>
      <c r="F107" s="257" t="n"/>
      <c r="G107" s="257" t="n"/>
      <c r="H107" s="257" t="n"/>
      <c r="I107" s="257" t="n"/>
      <c r="J107" s="257" t="n"/>
      <c r="K107" s="257" t="n"/>
      <c r="L107" s="257" t="n"/>
      <c r="M107" s="257" t="n"/>
      <c r="N107" s="257" t="n"/>
      <c r="O107" s="257" t="n"/>
      <c r="P107" s="257" t="n"/>
      <c r="Q107" s="257" t="n"/>
      <c r="R107" s="257" t="n"/>
      <c r="S107" s="257" t="n"/>
      <c r="T107" s="257" t="n"/>
      <c r="U107" s="257" t="n"/>
      <c r="V107" s="257" t="n"/>
      <c r="W107" s="257" t="n"/>
      <c r="X107" s="257" t="n"/>
      <c r="Y107" s="257" t="n"/>
      <c r="Z107" s="257" t="n"/>
    </row>
    <row r="108">
      <c r="A108" s="257" t="n"/>
      <c r="B108" s="257" t="n"/>
      <c r="C108" s="257" t="n"/>
      <c r="D108" s="257" t="n"/>
      <c r="E108" s="257" t="n"/>
      <c r="F108" s="257" t="n"/>
      <c r="G108" s="257" t="n"/>
      <c r="H108" s="257" t="n"/>
      <c r="I108" s="257" t="n"/>
      <c r="J108" s="257" t="n"/>
      <c r="K108" s="257" t="n"/>
      <c r="L108" s="257" t="n"/>
      <c r="M108" s="257" t="n"/>
      <c r="N108" s="257" t="n"/>
      <c r="O108" s="257" t="n"/>
      <c r="P108" s="257" t="n"/>
      <c r="Q108" s="257" t="n"/>
      <c r="R108" s="257" t="n"/>
      <c r="S108" s="257" t="n"/>
      <c r="T108" s="257" t="n"/>
      <c r="U108" s="257" t="n"/>
      <c r="V108" s="257" t="n"/>
      <c r="W108" s="257" t="n"/>
      <c r="X108" s="257" t="n"/>
      <c r="Y108" s="257" t="n"/>
      <c r="Z108" s="257" t="n"/>
    </row>
    <row r="109">
      <c r="A109" s="257" t="n"/>
      <c r="B109" s="257" t="n"/>
      <c r="C109" s="257" t="n"/>
      <c r="D109" s="257" t="n"/>
      <c r="E109" s="257" t="n"/>
      <c r="F109" s="257" t="n"/>
      <c r="G109" s="257" t="n"/>
      <c r="H109" s="257" t="n"/>
      <c r="I109" s="257" t="n"/>
      <c r="J109" s="257" t="n"/>
      <c r="K109" s="257" t="n"/>
      <c r="L109" s="257" t="n"/>
      <c r="M109" s="257" t="n"/>
      <c r="N109" s="257" t="n"/>
      <c r="O109" s="257" t="n"/>
      <c r="P109" s="257" t="n"/>
      <c r="Q109" s="257" t="n"/>
      <c r="R109" s="257" t="n"/>
      <c r="S109" s="257" t="n"/>
      <c r="T109" s="257" t="n"/>
      <c r="U109" s="257" t="n"/>
      <c r="V109" s="257" t="n"/>
      <c r="W109" s="257" t="n"/>
      <c r="X109" s="257" t="n"/>
      <c r="Y109" s="257" t="n"/>
      <c r="Z109" s="257" t="n"/>
    </row>
    <row r="110">
      <c r="A110" s="257" t="n"/>
      <c r="B110" s="257" t="n"/>
      <c r="C110" s="257" t="n"/>
      <c r="D110" s="257" t="n"/>
      <c r="E110" s="257" t="n"/>
      <c r="F110" s="257" t="n"/>
      <c r="G110" s="257" t="n"/>
      <c r="H110" s="257" t="n"/>
      <c r="I110" s="257" t="n"/>
      <c r="J110" s="257" t="n"/>
      <c r="K110" s="257" t="n"/>
      <c r="L110" s="257" t="n"/>
      <c r="M110" s="257" t="n"/>
      <c r="N110" s="257" t="n"/>
      <c r="O110" s="257" t="n"/>
      <c r="P110" s="257" t="n"/>
      <c r="Q110" s="257" t="n"/>
      <c r="R110" s="257" t="n"/>
      <c r="S110" s="257" t="n"/>
      <c r="T110" s="257" t="n"/>
      <c r="U110" s="257" t="n"/>
      <c r="V110" s="257" t="n"/>
      <c r="W110" s="257" t="n"/>
      <c r="X110" s="257" t="n"/>
      <c r="Y110" s="257" t="n"/>
      <c r="Z110" s="257" t="n"/>
    </row>
    <row r="111">
      <c r="A111" s="257" t="n"/>
      <c r="B111" s="257" t="n"/>
      <c r="C111" s="257" t="n"/>
      <c r="D111" s="257" t="n"/>
      <c r="E111" s="257" t="n"/>
      <c r="F111" s="257" t="n"/>
      <c r="G111" s="257" t="n"/>
      <c r="H111" s="257" t="n"/>
      <c r="I111" s="257" t="n"/>
      <c r="J111" s="257" t="n"/>
      <c r="K111" s="257" t="n"/>
      <c r="L111" s="257" t="n"/>
      <c r="M111" s="257" t="n"/>
      <c r="N111" s="257" t="n"/>
      <c r="O111" s="257" t="n"/>
      <c r="P111" s="257" t="n"/>
      <c r="Q111" s="257" t="n"/>
      <c r="R111" s="257" t="n"/>
      <c r="S111" s="257" t="n"/>
      <c r="T111" s="257" t="n"/>
      <c r="U111" s="257" t="n"/>
      <c r="V111" s="257" t="n"/>
      <c r="W111" s="257" t="n"/>
      <c r="X111" s="257" t="n"/>
      <c r="Y111" s="257" t="n"/>
      <c r="Z111" s="257" t="n"/>
    </row>
    <row r="112">
      <c r="A112" s="257" t="n"/>
      <c r="B112" s="257" t="n"/>
      <c r="C112" s="257" t="n"/>
      <c r="D112" s="257" t="n"/>
      <c r="E112" s="257" t="n"/>
      <c r="F112" s="257" t="n"/>
      <c r="G112" s="257" t="n"/>
      <c r="H112" s="257" t="n"/>
      <c r="I112" s="257" t="n"/>
      <c r="J112" s="257" t="n"/>
      <c r="K112" s="257" t="n"/>
      <c r="L112" s="257" t="n"/>
      <c r="M112" s="257" t="n"/>
      <c r="N112" s="257" t="n"/>
      <c r="O112" s="257" t="n"/>
      <c r="P112" s="257" t="n"/>
      <c r="Q112" s="257" t="n"/>
      <c r="R112" s="257" t="n"/>
      <c r="S112" s="257" t="n"/>
      <c r="T112" s="257" t="n"/>
      <c r="U112" s="257" t="n"/>
      <c r="V112" s="257" t="n"/>
      <c r="W112" s="257" t="n"/>
      <c r="X112" s="257" t="n"/>
      <c r="Y112" s="257" t="n"/>
      <c r="Z112" s="257" t="n"/>
    </row>
    <row r="113">
      <c r="A113" s="257" t="n"/>
      <c r="B113" s="257" t="n"/>
      <c r="C113" s="257" t="n"/>
      <c r="D113" s="257" t="n"/>
      <c r="E113" s="257" t="n"/>
      <c r="F113" s="257" t="n"/>
      <c r="G113" s="257" t="n"/>
      <c r="H113" s="257" t="n"/>
      <c r="I113" s="257" t="n"/>
      <c r="J113" s="257" t="n"/>
      <c r="K113" s="257" t="n"/>
      <c r="L113" s="257" t="n"/>
      <c r="M113" s="257" t="n"/>
      <c r="N113" s="257" t="n"/>
      <c r="O113" s="257" t="n"/>
      <c r="P113" s="257" t="n"/>
      <c r="Q113" s="257" t="n"/>
      <c r="R113" s="257" t="n"/>
      <c r="S113" s="257" t="n"/>
      <c r="T113" s="257" t="n"/>
      <c r="U113" s="257" t="n"/>
      <c r="V113" s="257" t="n"/>
      <c r="W113" s="257" t="n"/>
      <c r="X113" s="257" t="n"/>
      <c r="Y113" s="257" t="n"/>
      <c r="Z113" s="257" t="n"/>
    </row>
    <row r="114">
      <c r="A114" s="257" t="n"/>
      <c r="B114" s="257" t="n"/>
      <c r="C114" s="257" t="n"/>
      <c r="D114" s="257" t="n"/>
      <c r="E114" s="257" t="n"/>
      <c r="F114" s="257" t="n"/>
      <c r="G114" s="257" t="n"/>
      <c r="H114" s="257" t="n"/>
      <c r="I114" s="257" t="n"/>
      <c r="J114" s="257" t="n"/>
      <c r="K114" s="257" t="n"/>
      <c r="L114" s="257" t="n"/>
      <c r="M114" s="257" t="n"/>
      <c r="N114" s="257" t="n"/>
      <c r="O114" s="257" t="n"/>
      <c r="P114" s="257" t="n"/>
      <c r="Q114" s="257" t="n"/>
      <c r="R114" s="257" t="n"/>
      <c r="S114" s="257" t="n"/>
      <c r="T114" s="257" t="n"/>
      <c r="U114" s="257" t="n"/>
      <c r="V114" s="257" t="n"/>
      <c r="W114" s="257" t="n"/>
      <c r="X114" s="257" t="n"/>
      <c r="Y114" s="257" t="n"/>
      <c r="Z114" s="257" t="n"/>
    </row>
    <row r="115">
      <c r="A115" s="257" t="n"/>
      <c r="B115" s="257" t="n"/>
      <c r="C115" s="257" t="n"/>
      <c r="D115" s="257" t="n"/>
      <c r="E115" s="257" t="n"/>
      <c r="F115" s="257" t="n"/>
      <c r="G115" s="257" t="n"/>
      <c r="H115" s="257" t="n"/>
      <c r="I115" s="257" t="n"/>
      <c r="J115" s="257" t="n"/>
      <c r="K115" s="257" t="n"/>
      <c r="L115" s="257" t="n"/>
      <c r="M115" s="257" t="n"/>
      <c r="N115" s="257" t="n"/>
      <c r="O115" s="257" t="n"/>
      <c r="P115" s="257" t="n"/>
      <c r="Q115" s="257" t="n"/>
      <c r="R115" s="257" t="n"/>
      <c r="S115" s="257" t="n"/>
      <c r="T115" s="257" t="n"/>
      <c r="U115" s="257" t="n"/>
      <c r="V115" s="257" t="n"/>
      <c r="W115" s="257" t="n"/>
      <c r="X115" s="257" t="n"/>
      <c r="Y115" s="257" t="n"/>
      <c r="Z115" s="257" t="n"/>
    </row>
    <row r="116">
      <c r="A116" s="257" t="n"/>
      <c r="B116" s="257" t="n"/>
      <c r="C116" s="257" t="n"/>
      <c r="D116" s="257" t="n"/>
      <c r="E116" s="257" t="n"/>
      <c r="F116" s="257" t="n"/>
      <c r="G116" s="257" t="n"/>
      <c r="H116" s="257" t="n"/>
      <c r="I116" s="257" t="n"/>
      <c r="J116" s="257" t="n"/>
      <c r="K116" s="257" t="n"/>
      <c r="L116" s="257" t="n"/>
      <c r="M116" s="257" t="n"/>
      <c r="N116" s="257" t="n"/>
      <c r="O116" s="257" t="n"/>
      <c r="P116" s="257" t="n"/>
      <c r="Q116" s="257" t="n"/>
      <c r="R116" s="257" t="n"/>
      <c r="S116" s="257" t="n"/>
      <c r="T116" s="257" t="n"/>
      <c r="U116" s="257" t="n"/>
      <c r="V116" s="257" t="n"/>
      <c r="W116" s="257" t="n"/>
      <c r="X116" s="257" t="n"/>
      <c r="Y116" s="257" t="n"/>
      <c r="Z116" s="257" t="n"/>
    </row>
    <row r="117">
      <c r="A117" s="257" t="n"/>
      <c r="B117" s="257" t="n"/>
      <c r="C117" s="257" t="n"/>
      <c r="D117" s="257" t="n"/>
      <c r="E117" s="257" t="n"/>
      <c r="F117" s="257" t="n"/>
      <c r="G117" s="257" t="n"/>
      <c r="H117" s="257" t="n"/>
      <c r="I117" s="257" t="n"/>
      <c r="J117" s="257" t="n"/>
      <c r="K117" s="257" t="n"/>
      <c r="L117" s="257" t="n"/>
      <c r="M117" s="257" t="n"/>
      <c r="N117" s="257" t="n"/>
      <c r="O117" s="257" t="n"/>
      <c r="P117" s="257" t="n"/>
      <c r="Q117" s="257" t="n"/>
      <c r="R117" s="257" t="n"/>
      <c r="S117" s="257" t="n"/>
      <c r="T117" s="257" t="n"/>
      <c r="U117" s="257" t="n"/>
      <c r="V117" s="257" t="n"/>
      <c r="W117" s="257" t="n"/>
      <c r="X117" s="257" t="n"/>
      <c r="Y117" s="257" t="n"/>
      <c r="Z117" s="257" t="n"/>
    </row>
    <row r="118">
      <c r="A118" s="257" t="n"/>
      <c r="B118" s="257" t="n"/>
      <c r="C118" s="257" t="n"/>
      <c r="D118" s="257" t="n"/>
      <c r="E118" s="257" t="n"/>
      <c r="F118" s="257" t="n"/>
      <c r="G118" s="257" t="n"/>
      <c r="H118" s="257" t="n"/>
      <c r="I118" s="257" t="n"/>
      <c r="J118" s="257" t="n"/>
      <c r="K118" s="257" t="n"/>
      <c r="L118" s="257" t="n"/>
      <c r="M118" s="257" t="n"/>
      <c r="N118" s="257" t="n"/>
      <c r="O118" s="257" t="n"/>
      <c r="P118" s="257" t="n"/>
      <c r="Q118" s="257" t="n"/>
      <c r="R118" s="257" t="n"/>
      <c r="S118" s="257" t="n"/>
      <c r="T118" s="257" t="n"/>
      <c r="U118" s="257" t="n"/>
      <c r="V118" s="257" t="n"/>
      <c r="W118" s="257" t="n"/>
      <c r="X118" s="257" t="n"/>
      <c r="Y118" s="257" t="n"/>
      <c r="Z118" s="257" t="n"/>
    </row>
    <row r="119">
      <c r="A119" s="257" t="n"/>
      <c r="B119" s="257" t="n"/>
      <c r="C119" s="257" t="n"/>
      <c r="D119" s="257" t="n"/>
      <c r="E119" s="257" t="n"/>
      <c r="F119" s="257" t="n"/>
      <c r="G119" s="257" t="n"/>
      <c r="H119" s="257" t="n"/>
      <c r="I119" s="257" t="n"/>
      <c r="J119" s="257" t="n"/>
      <c r="K119" s="257" t="n"/>
      <c r="L119" s="257" t="n"/>
      <c r="M119" s="257" t="n"/>
      <c r="N119" s="257" t="n"/>
      <c r="O119" s="257" t="n"/>
      <c r="P119" s="257" t="n"/>
      <c r="Q119" s="257" t="n"/>
      <c r="R119" s="257" t="n"/>
      <c r="S119" s="257" t="n"/>
      <c r="T119" s="257" t="n"/>
      <c r="U119" s="257" t="n"/>
      <c r="V119" s="257" t="n"/>
      <c r="W119" s="257" t="n"/>
      <c r="X119" s="257" t="n"/>
      <c r="Y119" s="257" t="n"/>
      <c r="Z119" s="257" t="n"/>
    </row>
    <row r="120">
      <c r="A120" s="257" t="n"/>
      <c r="B120" s="257" t="n"/>
      <c r="C120" s="257" t="n"/>
      <c r="D120" s="257" t="n"/>
      <c r="E120" s="257" t="n"/>
      <c r="F120" s="257" t="n"/>
      <c r="G120" s="257" t="n"/>
      <c r="H120" s="257" t="n"/>
      <c r="I120" s="257" t="n"/>
      <c r="J120" s="257" t="n"/>
      <c r="K120" s="257" t="n"/>
      <c r="L120" s="257" t="n"/>
      <c r="M120" s="257" t="n"/>
      <c r="N120" s="257" t="n"/>
      <c r="O120" s="257" t="n"/>
      <c r="P120" s="257" t="n"/>
      <c r="Q120" s="257" t="n"/>
      <c r="R120" s="257" t="n"/>
      <c r="S120" s="257" t="n"/>
      <c r="T120" s="257" t="n"/>
      <c r="U120" s="257" t="n"/>
      <c r="V120" s="257" t="n"/>
      <c r="W120" s="257" t="n"/>
      <c r="X120" s="257" t="n"/>
      <c r="Y120" s="257" t="n"/>
      <c r="Z120" s="257" t="n"/>
    </row>
    <row r="121">
      <c r="A121" s="257" t="n"/>
      <c r="B121" s="257" t="n"/>
      <c r="C121" s="257" t="n"/>
      <c r="D121" s="257" t="n"/>
      <c r="E121" s="257" t="n"/>
      <c r="F121" s="257" t="n"/>
      <c r="G121" s="257" t="n"/>
      <c r="H121" s="257" t="n"/>
      <c r="I121" s="257" t="n"/>
      <c r="J121" s="257" t="n"/>
      <c r="K121" s="257" t="n"/>
      <c r="L121" s="257" t="n"/>
      <c r="M121" s="257" t="n"/>
      <c r="N121" s="257" t="n"/>
      <c r="O121" s="257" t="n"/>
      <c r="P121" s="257" t="n"/>
      <c r="Q121" s="257" t="n"/>
      <c r="R121" s="257" t="n"/>
      <c r="S121" s="257" t="n"/>
      <c r="T121" s="257" t="n"/>
      <c r="U121" s="257" t="n"/>
      <c r="V121" s="257" t="n"/>
      <c r="W121" s="257" t="n"/>
      <c r="X121" s="257" t="n"/>
      <c r="Y121" s="257" t="n"/>
      <c r="Z121" s="257" t="n"/>
    </row>
    <row r="122">
      <c r="A122" s="257" t="n"/>
      <c r="B122" s="257" t="n"/>
      <c r="C122" s="257" t="n"/>
      <c r="D122" s="257" t="n"/>
      <c r="E122" s="257" t="n"/>
      <c r="F122" s="257" t="n"/>
      <c r="G122" s="257" t="n"/>
      <c r="H122" s="257" t="n"/>
      <c r="I122" s="257" t="n"/>
      <c r="J122" s="257" t="n"/>
      <c r="K122" s="257" t="n"/>
      <c r="L122" s="257" t="n"/>
      <c r="M122" s="257" t="n"/>
      <c r="N122" s="257" t="n"/>
      <c r="O122" s="257" t="n"/>
      <c r="P122" s="257" t="n"/>
      <c r="Q122" s="257" t="n"/>
      <c r="R122" s="257" t="n"/>
      <c r="S122" s="257" t="n"/>
      <c r="T122" s="257" t="n"/>
      <c r="U122" s="257" t="n"/>
      <c r="V122" s="257" t="n"/>
      <c r="W122" s="257" t="n"/>
      <c r="X122" s="257" t="n"/>
      <c r="Y122" s="257" t="n"/>
      <c r="Z122" s="257" t="n"/>
    </row>
    <row r="123">
      <c r="A123" s="257" t="n"/>
      <c r="B123" s="257" t="n"/>
      <c r="C123" s="257" t="n"/>
      <c r="D123" s="257" t="n"/>
      <c r="E123" s="257" t="n"/>
      <c r="F123" s="257" t="n"/>
      <c r="G123" s="257" t="n"/>
      <c r="H123" s="257" t="n"/>
      <c r="I123" s="257" t="n"/>
      <c r="J123" s="257" t="n"/>
      <c r="K123" s="257" t="n"/>
      <c r="L123" s="257" t="n"/>
      <c r="M123" s="257" t="n"/>
      <c r="N123" s="257" t="n"/>
      <c r="O123" s="257" t="n"/>
      <c r="P123" s="257" t="n"/>
      <c r="Q123" s="257" t="n"/>
      <c r="R123" s="257" t="n"/>
      <c r="S123" s="257" t="n"/>
      <c r="T123" s="257" t="n"/>
      <c r="U123" s="257" t="n"/>
      <c r="V123" s="257" t="n"/>
      <c r="W123" s="257" t="n"/>
      <c r="X123" s="257" t="n"/>
      <c r="Y123" s="257" t="n"/>
      <c r="Z123" s="257" t="n"/>
    </row>
    <row r="124">
      <c r="A124" s="257" t="n"/>
      <c r="B124" s="257" t="n"/>
      <c r="C124" s="257" t="n"/>
      <c r="D124" s="257" t="n"/>
      <c r="E124" s="257" t="n"/>
      <c r="F124" s="257" t="n"/>
      <c r="G124" s="257" t="n"/>
      <c r="H124" s="257" t="n"/>
      <c r="I124" s="257" t="n"/>
      <c r="J124" s="257" t="n"/>
      <c r="K124" s="257" t="n"/>
      <c r="L124" s="257" t="n"/>
      <c r="M124" s="257" t="n"/>
      <c r="N124" s="257" t="n"/>
      <c r="O124" s="257" t="n"/>
      <c r="P124" s="257" t="n"/>
      <c r="Q124" s="257" t="n"/>
      <c r="R124" s="257" t="n"/>
      <c r="S124" s="257" t="n"/>
      <c r="T124" s="257" t="n"/>
      <c r="U124" s="257" t="n"/>
      <c r="V124" s="257" t="n"/>
      <c r="W124" s="257" t="n"/>
      <c r="X124" s="257" t="n"/>
      <c r="Y124" s="257" t="n"/>
      <c r="Z124" s="257" t="n"/>
    </row>
    <row r="125">
      <c r="A125" s="257" t="n"/>
      <c r="B125" s="257" t="n"/>
      <c r="C125" s="257" t="n"/>
      <c r="D125" s="257" t="n"/>
      <c r="E125" s="257" t="n"/>
      <c r="F125" s="257" t="n"/>
      <c r="G125" s="257" t="n"/>
      <c r="H125" s="257" t="n"/>
      <c r="I125" s="257" t="n"/>
      <c r="J125" s="257" t="n"/>
      <c r="K125" s="257" t="n"/>
      <c r="L125" s="257" t="n"/>
      <c r="M125" s="257" t="n"/>
      <c r="N125" s="257" t="n"/>
      <c r="O125" s="257" t="n"/>
      <c r="P125" s="257" t="n"/>
      <c r="Q125" s="257" t="n"/>
      <c r="R125" s="257" t="n"/>
      <c r="S125" s="257" t="n"/>
      <c r="T125" s="257" t="n"/>
      <c r="U125" s="257" t="n"/>
      <c r="V125" s="257" t="n"/>
      <c r="W125" s="257" t="n"/>
      <c r="X125" s="257" t="n"/>
      <c r="Y125" s="257" t="n"/>
      <c r="Z125" s="257" t="n"/>
    </row>
    <row r="126">
      <c r="A126" s="257" t="n"/>
      <c r="B126" s="257" t="n"/>
      <c r="C126" s="257" t="n"/>
      <c r="D126" s="257" t="n"/>
      <c r="E126" s="257" t="n"/>
      <c r="F126" s="257" t="n"/>
      <c r="G126" s="257" t="n"/>
      <c r="H126" s="257" t="n"/>
      <c r="I126" s="257" t="n"/>
      <c r="J126" s="257" t="n"/>
      <c r="K126" s="257" t="n"/>
      <c r="L126" s="257" t="n"/>
      <c r="M126" s="257" t="n"/>
      <c r="N126" s="257" t="n"/>
      <c r="O126" s="257" t="n"/>
      <c r="P126" s="257" t="n"/>
      <c r="Q126" s="257" t="n"/>
      <c r="R126" s="257" t="n"/>
      <c r="S126" s="257" t="n"/>
      <c r="T126" s="257" t="n"/>
      <c r="U126" s="257" t="n"/>
      <c r="V126" s="257" t="n"/>
      <c r="W126" s="257" t="n"/>
      <c r="X126" s="257" t="n"/>
      <c r="Y126" s="257" t="n"/>
      <c r="Z126" s="257" t="n"/>
    </row>
    <row r="127">
      <c r="A127" s="257" t="n"/>
      <c r="B127" s="257" t="n"/>
      <c r="C127" s="257" t="n"/>
      <c r="D127" s="257" t="n"/>
      <c r="E127" s="257" t="n"/>
      <c r="F127" s="257" t="n"/>
      <c r="G127" s="257" t="n"/>
      <c r="H127" s="257" t="n"/>
      <c r="I127" s="257" t="n"/>
      <c r="J127" s="257" t="n"/>
      <c r="K127" s="257" t="n"/>
      <c r="L127" s="257" t="n"/>
      <c r="M127" s="257" t="n"/>
      <c r="N127" s="257" t="n"/>
      <c r="O127" s="257" t="n"/>
      <c r="P127" s="257" t="n"/>
      <c r="Q127" s="257" t="n"/>
      <c r="R127" s="257" t="n"/>
      <c r="S127" s="257" t="n"/>
      <c r="T127" s="257" t="n"/>
      <c r="U127" s="257" t="n"/>
      <c r="V127" s="257" t="n"/>
      <c r="W127" s="257" t="n"/>
      <c r="X127" s="257" t="n"/>
      <c r="Y127" s="257" t="n"/>
      <c r="Z127" s="257" t="n"/>
    </row>
    <row r="128">
      <c r="A128" s="257" t="n"/>
      <c r="B128" s="257" t="n"/>
      <c r="C128" s="257" t="n"/>
      <c r="D128" s="257" t="n"/>
      <c r="E128" s="257" t="n"/>
      <c r="F128" s="257" t="n"/>
      <c r="G128" s="257" t="n"/>
      <c r="H128" s="257" t="n"/>
      <c r="I128" s="257" t="n"/>
      <c r="J128" s="257" t="n"/>
      <c r="K128" s="257" t="n"/>
      <c r="L128" s="257" t="n"/>
      <c r="M128" s="257" t="n"/>
      <c r="N128" s="257" t="n"/>
      <c r="O128" s="257" t="n"/>
      <c r="P128" s="257" t="n"/>
      <c r="Q128" s="257" t="n"/>
      <c r="R128" s="257" t="n"/>
      <c r="S128" s="257" t="n"/>
      <c r="T128" s="257" t="n"/>
      <c r="U128" s="257" t="n"/>
      <c r="V128" s="257" t="n"/>
      <c r="W128" s="257" t="n"/>
      <c r="X128" s="257" t="n"/>
      <c r="Y128" s="257" t="n"/>
      <c r="Z128" s="257" t="n"/>
    </row>
    <row r="129">
      <c r="A129" s="257" t="n"/>
      <c r="B129" s="257" t="n"/>
      <c r="C129" s="257" t="n"/>
      <c r="D129" s="257" t="n"/>
      <c r="E129" s="257" t="n"/>
      <c r="F129" s="257" t="n"/>
      <c r="G129" s="257" t="n"/>
      <c r="H129" s="257" t="n"/>
      <c r="I129" s="257" t="n"/>
      <c r="J129" s="257" t="n"/>
      <c r="K129" s="257" t="n"/>
      <c r="L129" s="257" t="n"/>
      <c r="M129" s="257" t="n"/>
      <c r="N129" s="257" t="n"/>
      <c r="O129" s="257" t="n"/>
      <c r="P129" s="257" t="n"/>
      <c r="Q129" s="257" t="n"/>
      <c r="R129" s="257" t="n"/>
      <c r="S129" s="257" t="n"/>
      <c r="T129" s="257" t="n"/>
      <c r="U129" s="257" t="n"/>
      <c r="V129" s="257" t="n"/>
      <c r="W129" s="257" t="n"/>
      <c r="X129" s="257" t="n"/>
      <c r="Y129" s="257" t="n"/>
      <c r="Z129" s="257" t="n"/>
    </row>
    <row r="130">
      <c r="A130" s="257" t="n"/>
      <c r="B130" s="257" t="n"/>
      <c r="C130" s="257" t="n"/>
      <c r="D130" s="257" t="n"/>
      <c r="E130" s="257" t="n"/>
      <c r="F130" s="257" t="n"/>
      <c r="G130" s="257" t="n"/>
      <c r="H130" s="257" t="n"/>
      <c r="I130" s="257" t="n"/>
      <c r="J130" s="257" t="n"/>
      <c r="K130" s="257" t="n"/>
      <c r="L130" s="257" t="n"/>
      <c r="M130" s="257" t="n"/>
      <c r="N130" s="257" t="n"/>
      <c r="O130" s="257" t="n"/>
      <c r="P130" s="257" t="n"/>
      <c r="Q130" s="257" t="n"/>
      <c r="R130" s="257" t="n"/>
      <c r="S130" s="257" t="n"/>
      <c r="T130" s="257" t="n"/>
      <c r="U130" s="257" t="n"/>
      <c r="V130" s="257" t="n"/>
      <c r="W130" s="257" t="n"/>
      <c r="X130" s="257" t="n"/>
      <c r="Y130" s="257" t="n"/>
      <c r="Z130" s="257" t="n"/>
    </row>
    <row r="131">
      <c r="A131" s="257" t="n"/>
      <c r="B131" s="257" t="n"/>
      <c r="C131" s="257" t="n"/>
      <c r="D131" s="257" t="n"/>
      <c r="E131" s="257" t="n"/>
      <c r="F131" s="257" t="n"/>
      <c r="G131" s="257" t="n"/>
      <c r="H131" s="257" t="n"/>
      <c r="I131" s="257" t="n"/>
      <c r="J131" s="257" t="n"/>
      <c r="K131" s="257" t="n"/>
      <c r="L131" s="257" t="n"/>
      <c r="M131" s="257" t="n"/>
      <c r="N131" s="257" t="n"/>
      <c r="O131" s="257" t="n"/>
      <c r="P131" s="257" t="n"/>
      <c r="Q131" s="257" t="n"/>
      <c r="R131" s="257" t="n"/>
      <c r="S131" s="257" t="n"/>
      <c r="T131" s="257" t="n"/>
      <c r="U131" s="257" t="n"/>
      <c r="V131" s="257" t="n"/>
      <c r="W131" s="257" t="n"/>
      <c r="X131" s="257" t="n"/>
      <c r="Y131" s="257" t="n"/>
      <c r="Z131" s="257" t="n"/>
    </row>
    <row r="132">
      <c r="A132" s="257" t="n"/>
      <c r="B132" s="257" t="n"/>
      <c r="C132" s="257" t="n"/>
      <c r="D132" s="257" t="n"/>
      <c r="E132" s="257" t="n"/>
      <c r="F132" s="257" t="n"/>
      <c r="G132" s="257" t="n"/>
      <c r="H132" s="257" t="n"/>
      <c r="I132" s="257" t="n"/>
      <c r="J132" s="257" t="n"/>
      <c r="K132" s="257" t="n"/>
      <c r="L132" s="257" t="n"/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7" t="n"/>
    </row>
    <row r="133">
      <c r="A133" s="257" t="n"/>
      <c r="B133" s="257" t="n"/>
      <c r="C133" s="257" t="n"/>
      <c r="D133" s="257" t="n"/>
      <c r="E133" s="257" t="n"/>
      <c r="F133" s="257" t="n"/>
      <c r="G133" s="257" t="n"/>
      <c r="H133" s="257" t="n"/>
      <c r="I133" s="257" t="n"/>
      <c r="J133" s="257" t="n"/>
      <c r="K133" s="257" t="n"/>
      <c r="L133" s="257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7" t="n"/>
    </row>
    <row r="134">
      <c r="A134" s="257" t="n"/>
      <c r="B134" s="257" t="n"/>
      <c r="C134" s="257" t="n"/>
      <c r="D134" s="257" t="n"/>
      <c r="E134" s="257" t="n"/>
      <c r="F134" s="257" t="n"/>
      <c r="G134" s="257" t="n"/>
      <c r="H134" s="257" t="n"/>
      <c r="I134" s="257" t="n"/>
      <c r="J134" s="257" t="n"/>
      <c r="K134" s="257" t="n"/>
      <c r="L134" s="257" t="n"/>
      <c r="M134" s="257" t="n"/>
      <c r="N134" s="257" t="n"/>
      <c r="O134" s="257" t="n"/>
      <c r="P134" s="257" t="n"/>
      <c r="Q134" s="257" t="n"/>
      <c r="R134" s="257" t="n"/>
      <c r="S134" s="257" t="n"/>
      <c r="T134" s="257" t="n"/>
      <c r="U134" s="257" t="n"/>
      <c r="V134" s="257" t="n"/>
      <c r="W134" s="257" t="n"/>
      <c r="X134" s="257" t="n"/>
      <c r="Y134" s="257" t="n"/>
      <c r="Z134" s="257" t="n"/>
    </row>
    <row r="135">
      <c r="A135" s="257" t="n"/>
      <c r="B135" s="257" t="n"/>
      <c r="C135" s="257" t="n"/>
      <c r="D135" s="257" t="n"/>
      <c r="E135" s="257" t="n"/>
      <c r="F135" s="257" t="n"/>
      <c r="G135" s="257" t="n"/>
      <c r="H135" s="257" t="n"/>
      <c r="I135" s="257" t="n"/>
      <c r="J135" s="257" t="n"/>
      <c r="K135" s="257" t="n"/>
      <c r="L135" s="257" t="n"/>
      <c r="M135" s="257" t="n"/>
      <c r="N135" s="257" t="n"/>
      <c r="O135" s="257" t="n"/>
      <c r="P135" s="257" t="n"/>
      <c r="Q135" s="257" t="n"/>
      <c r="R135" s="257" t="n"/>
      <c r="S135" s="257" t="n"/>
      <c r="T135" s="257" t="n"/>
      <c r="U135" s="257" t="n"/>
      <c r="V135" s="257" t="n"/>
      <c r="W135" s="257" t="n"/>
      <c r="X135" s="257" t="n"/>
      <c r="Y135" s="257" t="n"/>
      <c r="Z135" s="257" t="n"/>
    </row>
    <row r="136">
      <c r="A136" s="257" t="n"/>
      <c r="B136" s="257" t="n"/>
      <c r="C136" s="257" t="n"/>
      <c r="D136" s="257" t="n"/>
      <c r="E136" s="257" t="n"/>
      <c r="F136" s="257" t="n"/>
      <c r="G136" s="257" t="n"/>
      <c r="H136" s="257" t="n"/>
      <c r="I136" s="257" t="n"/>
      <c r="J136" s="257" t="n"/>
      <c r="K136" s="257" t="n"/>
      <c r="L136" s="257" t="n"/>
      <c r="M136" s="257" t="n"/>
      <c r="N136" s="257" t="n"/>
      <c r="O136" s="257" t="n"/>
      <c r="P136" s="257" t="n"/>
      <c r="Q136" s="257" t="n"/>
      <c r="R136" s="257" t="n"/>
      <c r="S136" s="257" t="n"/>
      <c r="T136" s="257" t="n"/>
      <c r="U136" s="257" t="n"/>
      <c r="V136" s="257" t="n"/>
      <c r="W136" s="257" t="n"/>
      <c r="X136" s="257" t="n"/>
      <c r="Y136" s="257" t="n"/>
      <c r="Z136" s="257" t="n"/>
    </row>
    <row r="137">
      <c r="A137" s="257" t="n"/>
      <c r="B137" s="257" t="n"/>
      <c r="C137" s="257" t="n"/>
      <c r="D137" s="257" t="n"/>
      <c r="E137" s="257" t="n"/>
      <c r="F137" s="257" t="n"/>
      <c r="G137" s="257" t="n"/>
      <c r="H137" s="257" t="n"/>
      <c r="I137" s="257" t="n"/>
      <c r="J137" s="257" t="n"/>
      <c r="K137" s="257" t="n"/>
      <c r="L137" s="257" t="n"/>
      <c r="M137" s="257" t="n"/>
      <c r="N137" s="257" t="n"/>
      <c r="O137" s="257" t="n"/>
      <c r="P137" s="257" t="n"/>
      <c r="Q137" s="257" t="n"/>
      <c r="R137" s="257" t="n"/>
      <c r="S137" s="257" t="n"/>
      <c r="T137" s="257" t="n"/>
      <c r="U137" s="257" t="n"/>
      <c r="V137" s="257" t="n"/>
      <c r="W137" s="257" t="n"/>
      <c r="X137" s="257" t="n"/>
      <c r="Y137" s="257" t="n"/>
      <c r="Z137" s="257" t="n"/>
    </row>
    <row r="138">
      <c r="A138" s="257" t="n"/>
      <c r="B138" s="257" t="n"/>
      <c r="C138" s="257" t="n"/>
      <c r="D138" s="257" t="n"/>
      <c r="E138" s="257" t="n"/>
      <c r="F138" s="257" t="n"/>
      <c r="G138" s="257" t="n"/>
      <c r="H138" s="257" t="n"/>
      <c r="I138" s="257" t="n"/>
      <c r="J138" s="257" t="n"/>
      <c r="K138" s="257" t="n"/>
      <c r="L138" s="257" t="n"/>
      <c r="M138" s="257" t="n"/>
      <c r="N138" s="257" t="n"/>
      <c r="O138" s="257" t="n"/>
      <c r="P138" s="257" t="n"/>
      <c r="Q138" s="257" t="n"/>
      <c r="R138" s="257" t="n"/>
      <c r="S138" s="257" t="n"/>
      <c r="T138" s="257" t="n"/>
      <c r="U138" s="257" t="n"/>
      <c r="V138" s="257" t="n"/>
      <c r="W138" s="257" t="n"/>
      <c r="X138" s="257" t="n"/>
      <c r="Y138" s="257" t="n"/>
      <c r="Z138" s="257" t="n"/>
    </row>
    <row r="139">
      <c r="A139" s="257" t="n"/>
      <c r="B139" s="257" t="n"/>
      <c r="C139" s="257" t="n"/>
      <c r="D139" s="257" t="n"/>
      <c r="E139" s="257" t="n"/>
      <c r="F139" s="257" t="n"/>
      <c r="G139" s="257" t="n"/>
      <c r="H139" s="257" t="n"/>
      <c r="I139" s="257" t="n"/>
      <c r="J139" s="257" t="n"/>
      <c r="K139" s="257" t="n"/>
      <c r="L139" s="257" t="n"/>
      <c r="M139" s="257" t="n"/>
      <c r="N139" s="257" t="n"/>
      <c r="O139" s="257" t="n"/>
      <c r="P139" s="257" t="n"/>
      <c r="Q139" s="257" t="n"/>
      <c r="R139" s="257" t="n"/>
      <c r="S139" s="257" t="n"/>
      <c r="T139" s="257" t="n"/>
      <c r="U139" s="257" t="n"/>
      <c r="V139" s="257" t="n"/>
      <c r="W139" s="257" t="n"/>
      <c r="X139" s="257" t="n"/>
      <c r="Y139" s="257" t="n"/>
      <c r="Z139" s="257" t="n"/>
    </row>
    <row r="140">
      <c r="A140" s="257" t="n"/>
      <c r="B140" s="257" t="n"/>
      <c r="C140" s="257" t="n"/>
      <c r="D140" s="257" t="n"/>
      <c r="E140" s="257" t="n"/>
      <c r="F140" s="257" t="n"/>
      <c r="G140" s="257" t="n"/>
      <c r="H140" s="257" t="n"/>
      <c r="I140" s="257" t="n"/>
      <c r="J140" s="257" t="n"/>
      <c r="K140" s="257" t="n"/>
      <c r="L140" s="257" t="n"/>
      <c r="M140" s="257" t="n"/>
      <c r="N140" s="257" t="n"/>
      <c r="O140" s="257" t="n"/>
      <c r="P140" s="257" t="n"/>
      <c r="Q140" s="257" t="n"/>
      <c r="R140" s="257" t="n"/>
      <c r="S140" s="257" t="n"/>
      <c r="T140" s="257" t="n"/>
      <c r="U140" s="257" t="n"/>
      <c r="V140" s="257" t="n"/>
      <c r="W140" s="257" t="n"/>
      <c r="X140" s="257" t="n"/>
      <c r="Y140" s="257" t="n"/>
      <c r="Z140" s="257" t="n"/>
    </row>
    <row r="141">
      <c r="A141" s="257" t="n"/>
      <c r="B141" s="257" t="n"/>
      <c r="C141" s="257" t="n"/>
      <c r="D141" s="257" t="n"/>
      <c r="E141" s="257" t="n"/>
      <c r="F141" s="257" t="n"/>
      <c r="G141" s="257" t="n"/>
      <c r="H141" s="257" t="n"/>
      <c r="I141" s="257" t="n"/>
      <c r="J141" s="257" t="n"/>
      <c r="K141" s="257" t="n"/>
      <c r="L141" s="257" t="n"/>
      <c r="M141" s="257" t="n"/>
      <c r="N141" s="257" t="n"/>
      <c r="O141" s="257" t="n"/>
      <c r="P141" s="257" t="n"/>
      <c r="Q141" s="257" t="n"/>
      <c r="R141" s="257" t="n"/>
      <c r="S141" s="257" t="n"/>
      <c r="T141" s="257" t="n"/>
      <c r="U141" s="257" t="n"/>
      <c r="V141" s="257" t="n"/>
      <c r="W141" s="257" t="n"/>
      <c r="X141" s="257" t="n"/>
      <c r="Y141" s="257" t="n"/>
      <c r="Z141" s="257" t="n"/>
    </row>
    <row r="142">
      <c r="A142" s="257" t="n"/>
      <c r="B142" s="257" t="n"/>
      <c r="C142" s="257" t="n"/>
      <c r="D142" s="257" t="n"/>
      <c r="E142" s="257" t="n"/>
      <c r="F142" s="257" t="n"/>
      <c r="G142" s="257" t="n"/>
      <c r="H142" s="257" t="n"/>
      <c r="I142" s="257" t="n"/>
      <c r="J142" s="257" t="n"/>
      <c r="K142" s="257" t="n"/>
      <c r="L142" s="257" t="n"/>
      <c r="M142" s="257" t="n"/>
      <c r="N142" s="257" t="n"/>
      <c r="O142" s="257" t="n"/>
      <c r="P142" s="257" t="n"/>
      <c r="Q142" s="257" t="n"/>
      <c r="R142" s="257" t="n"/>
      <c r="S142" s="257" t="n"/>
      <c r="T142" s="257" t="n"/>
      <c r="U142" s="257" t="n"/>
      <c r="V142" s="257" t="n"/>
      <c r="W142" s="257" t="n"/>
      <c r="X142" s="257" t="n"/>
      <c r="Y142" s="257" t="n"/>
      <c r="Z142" s="257" t="n"/>
    </row>
    <row r="143">
      <c r="A143" s="257" t="n"/>
      <c r="B143" s="257" t="n"/>
      <c r="C143" s="257" t="n"/>
      <c r="D143" s="257" t="n"/>
      <c r="E143" s="257" t="n"/>
      <c r="F143" s="257" t="n"/>
      <c r="G143" s="257" t="n"/>
      <c r="H143" s="257" t="n"/>
      <c r="I143" s="257" t="n"/>
      <c r="J143" s="257" t="n"/>
      <c r="K143" s="257" t="n"/>
      <c r="L143" s="257" t="n"/>
      <c r="M143" s="257" t="n"/>
      <c r="N143" s="257" t="n"/>
      <c r="O143" s="257" t="n"/>
      <c r="P143" s="257" t="n"/>
      <c r="Q143" s="257" t="n"/>
      <c r="R143" s="257" t="n"/>
      <c r="S143" s="257" t="n"/>
      <c r="T143" s="257" t="n"/>
      <c r="U143" s="257" t="n"/>
      <c r="V143" s="257" t="n"/>
      <c r="W143" s="257" t="n"/>
      <c r="X143" s="257" t="n"/>
      <c r="Y143" s="257" t="n"/>
      <c r="Z143" s="257" t="n"/>
    </row>
    <row r="144">
      <c r="A144" s="257" t="n"/>
      <c r="B144" s="257" t="n"/>
      <c r="C144" s="257" t="n"/>
      <c r="D144" s="257" t="n"/>
      <c r="E144" s="257" t="n"/>
      <c r="F144" s="257" t="n"/>
      <c r="G144" s="257" t="n"/>
      <c r="H144" s="257" t="n"/>
      <c r="I144" s="257" t="n"/>
      <c r="J144" s="257" t="n"/>
      <c r="K144" s="257" t="n"/>
      <c r="L144" s="257" t="n"/>
      <c r="M144" s="257" t="n"/>
      <c r="N144" s="257" t="n"/>
      <c r="O144" s="257" t="n"/>
      <c r="P144" s="257" t="n"/>
      <c r="Q144" s="257" t="n"/>
      <c r="R144" s="257" t="n"/>
      <c r="S144" s="257" t="n"/>
      <c r="T144" s="257" t="n"/>
      <c r="U144" s="257" t="n"/>
      <c r="V144" s="257" t="n"/>
      <c r="W144" s="257" t="n"/>
      <c r="X144" s="257" t="n"/>
      <c r="Y144" s="257" t="n"/>
      <c r="Z144" s="257" t="n"/>
    </row>
    <row r="145">
      <c r="A145" s="257" t="n"/>
      <c r="B145" s="257" t="n"/>
      <c r="C145" s="257" t="n"/>
      <c r="D145" s="257" t="n"/>
      <c r="E145" s="257" t="n"/>
      <c r="F145" s="257" t="n"/>
      <c r="G145" s="257" t="n"/>
      <c r="H145" s="257" t="n"/>
      <c r="I145" s="257" t="n"/>
      <c r="J145" s="257" t="n"/>
      <c r="K145" s="257" t="n"/>
      <c r="L145" s="257" t="n"/>
      <c r="M145" s="257" t="n"/>
      <c r="N145" s="257" t="n"/>
      <c r="O145" s="257" t="n"/>
      <c r="P145" s="257" t="n"/>
      <c r="Q145" s="257" t="n"/>
      <c r="R145" s="257" t="n"/>
      <c r="S145" s="257" t="n"/>
      <c r="T145" s="257" t="n"/>
      <c r="U145" s="257" t="n"/>
      <c r="V145" s="257" t="n"/>
      <c r="W145" s="257" t="n"/>
      <c r="X145" s="257" t="n"/>
      <c r="Y145" s="257" t="n"/>
      <c r="Z145" s="257" t="n"/>
    </row>
    <row r="146">
      <c r="A146" s="257" t="n"/>
      <c r="B146" s="257" t="n"/>
      <c r="C146" s="257" t="n"/>
      <c r="D146" s="257" t="n"/>
      <c r="E146" s="257" t="n"/>
      <c r="F146" s="257" t="n"/>
      <c r="G146" s="257" t="n"/>
      <c r="H146" s="257" t="n"/>
      <c r="I146" s="257" t="n"/>
      <c r="J146" s="257" t="n"/>
      <c r="K146" s="257" t="n"/>
      <c r="L146" s="257" t="n"/>
      <c r="M146" s="257" t="n"/>
      <c r="N146" s="257" t="n"/>
      <c r="O146" s="257" t="n"/>
      <c r="P146" s="257" t="n"/>
      <c r="Q146" s="257" t="n"/>
      <c r="R146" s="257" t="n"/>
      <c r="S146" s="257" t="n"/>
      <c r="T146" s="257" t="n"/>
      <c r="U146" s="257" t="n"/>
      <c r="V146" s="257" t="n"/>
      <c r="W146" s="257" t="n"/>
      <c r="X146" s="257" t="n"/>
      <c r="Y146" s="257" t="n"/>
      <c r="Z146" s="257" t="n"/>
    </row>
    <row r="147">
      <c r="A147" s="257" t="n"/>
      <c r="B147" s="257" t="n"/>
      <c r="C147" s="257" t="n"/>
      <c r="D147" s="257" t="n"/>
      <c r="E147" s="257" t="n"/>
      <c r="F147" s="257" t="n"/>
      <c r="G147" s="257" t="n"/>
      <c r="H147" s="257" t="n"/>
      <c r="I147" s="257" t="n"/>
      <c r="J147" s="257" t="n"/>
      <c r="K147" s="257" t="n"/>
      <c r="L147" s="257" t="n"/>
      <c r="M147" s="257" t="n"/>
      <c r="N147" s="257" t="n"/>
      <c r="O147" s="257" t="n"/>
      <c r="P147" s="257" t="n"/>
      <c r="Q147" s="257" t="n"/>
      <c r="R147" s="257" t="n"/>
      <c r="S147" s="257" t="n"/>
      <c r="T147" s="257" t="n"/>
      <c r="U147" s="257" t="n"/>
      <c r="V147" s="257" t="n"/>
      <c r="W147" s="257" t="n"/>
      <c r="X147" s="257" t="n"/>
      <c r="Y147" s="257" t="n"/>
      <c r="Z147" s="257" t="n"/>
    </row>
    <row r="148">
      <c r="A148" s="257" t="n"/>
      <c r="B148" s="257" t="n"/>
      <c r="C148" s="257" t="n"/>
      <c r="D148" s="257" t="n"/>
      <c r="E148" s="257" t="n"/>
      <c r="F148" s="257" t="n"/>
      <c r="G148" s="257" t="n"/>
      <c r="H148" s="257" t="n"/>
      <c r="I148" s="257" t="n"/>
      <c r="J148" s="257" t="n"/>
      <c r="K148" s="257" t="n"/>
      <c r="L148" s="257" t="n"/>
      <c r="M148" s="257" t="n"/>
      <c r="N148" s="257" t="n"/>
      <c r="O148" s="257" t="n"/>
      <c r="P148" s="257" t="n"/>
      <c r="Q148" s="257" t="n"/>
      <c r="R148" s="257" t="n"/>
      <c r="S148" s="257" t="n"/>
      <c r="T148" s="257" t="n"/>
      <c r="U148" s="257" t="n"/>
      <c r="V148" s="257" t="n"/>
      <c r="W148" s="257" t="n"/>
      <c r="X148" s="257" t="n"/>
      <c r="Y148" s="257" t="n"/>
      <c r="Z148" s="257" t="n"/>
    </row>
    <row r="149">
      <c r="A149" s="257" t="n"/>
      <c r="B149" s="257" t="n"/>
      <c r="C149" s="257" t="n"/>
      <c r="D149" s="257" t="n"/>
      <c r="E149" s="257" t="n"/>
      <c r="F149" s="257" t="n"/>
      <c r="G149" s="257" t="n"/>
      <c r="H149" s="257" t="n"/>
      <c r="I149" s="257" t="n"/>
      <c r="J149" s="257" t="n"/>
      <c r="K149" s="257" t="n"/>
      <c r="L149" s="257" t="n"/>
      <c r="M149" s="257" t="n"/>
      <c r="N149" s="257" t="n"/>
      <c r="O149" s="257" t="n"/>
      <c r="P149" s="257" t="n"/>
      <c r="Q149" s="257" t="n"/>
      <c r="R149" s="257" t="n"/>
      <c r="S149" s="257" t="n"/>
      <c r="T149" s="257" t="n"/>
      <c r="U149" s="257" t="n"/>
      <c r="V149" s="257" t="n"/>
      <c r="W149" s="257" t="n"/>
      <c r="X149" s="257" t="n"/>
      <c r="Y149" s="257" t="n"/>
      <c r="Z149" s="257" t="n"/>
    </row>
    <row r="150">
      <c r="A150" s="257" t="n"/>
      <c r="B150" s="257" t="n"/>
      <c r="C150" s="257" t="n"/>
      <c r="D150" s="257" t="n"/>
      <c r="E150" s="257" t="n"/>
      <c r="F150" s="257" t="n"/>
      <c r="G150" s="257" t="n"/>
      <c r="H150" s="257" t="n"/>
      <c r="I150" s="257" t="n"/>
      <c r="J150" s="257" t="n"/>
      <c r="K150" s="257" t="n"/>
      <c r="L150" s="257" t="n"/>
      <c r="M150" s="257" t="n"/>
      <c r="N150" s="257" t="n"/>
      <c r="O150" s="257" t="n"/>
      <c r="P150" s="257" t="n"/>
      <c r="Q150" s="257" t="n"/>
      <c r="R150" s="257" t="n"/>
      <c r="S150" s="257" t="n"/>
      <c r="T150" s="257" t="n"/>
      <c r="U150" s="257" t="n"/>
      <c r="V150" s="257" t="n"/>
      <c r="W150" s="257" t="n"/>
      <c r="X150" s="257" t="n"/>
      <c r="Y150" s="257" t="n"/>
      <c r="Z150" s="257" t="n"/>
    </row>
    <row r="151">
      <c r="A151" s="257" t="n"/>
      <c r="B151" s="257" t="n"/>
      <c r="C151" s="257" t="n"/>
      <c r="D151" s="257" t="n"/>
      <c r="E151" s="257" t="n"/>
      <c r="F151" s="257" t="n"/>
      <c r="G151" s="257" t="n"/>
      <c r="H151" s="257" t="n"/>
      <c r="I151" s="257" t="n"/>
      <c r="J151" s="257" t="n"/>
      <c r="K151" s="257" t="n"/>
      <c r="L151" s="257" t="n"/>
      <c r="M151" s="257" t="n"/>
      <c r="N151" s="257" t="n"/>
      <c r="O151" s="257" t="n"/>
      <c r="P151" s="257" t="n"/>
      <c r="Q151" s="257" t="n"/>
      <c r="R151" s="257" t="n"/>
      <c r="S151" s="257" t="n"/>
      <c r="T151" s="257" t="n"/>
      <c r="U151" s="257" t="n"/>
      <c r="V151" s="257" t="n"/>
      <c r="W151" s="257" t="n"/>
      <c r="X151" s="257" t="n"/>
      <c r="Y151" s="257" t="n"/>
      <c r="Z151" s="257" t="n"/>
    </row>
    <row r="152">
      <c r="A152" s="257" t="n"/>
      <c r="B152" s="257" t="n"/>
      <c r="C152" s="257" t="n"/>
      <c r="D152" s="257" t="n"/>
      <c r="E152" s="257" t="n"/>
      <c r="F152" s="257" t="n"/>
      <c r="G152" s="257" t="n"/>
      <c r="H152" s="257" t="n"/>
      <c r="I152" s="257" t="n"/>
      <c r="J152" s="257" t="n"/>
      <c r="K152" s="257" t="n"/>
      <c r="L152" s="257" t="n"/>
      <c r="M152" s="257" t="n"/>
      <c r="N152" s="257" t="n"/>
      <c r="O152" s="257" t="n"/>
      <c r="P152" s="257" t="n"/>
      <c r="Q152" s="257" t="n"/>
      <c r="R152" s="257" t="n"/>
      <c r="S152" s="257" t="n"/>
      <c r="T152" s="257" t="n"/>
      <c r="U152" s="257" t="n"/>
      <c r="V152" s="257" t="n"/>
      <c r="W152" s="257" t="n"/>
      <c r="X152" s="257" t="n"/>
      <c r="Y152" s="257" t="n"/>
      <c r="Z152" s="257" t="n"/>
    </row>
    <row r="153">
      <c r="A153" s="257" t="n"/>
      <c r="B153" s="257" t="n"/>
      <c r="C153" s="257" t="n"/>
      <c r="D153" s="257" t="n"/>
      <c r="E153" s="257" t="n"/>
      <c r="F153" s="257" t="n"/>
      <c r="G153" s="257" t="n"/>
      <c r="H153" s="257" t="n"/>
      <c r="I153" s="257" t="n"/>
      <c r="J153" s="257" t="n"/>
      <c r="K153" s="257" t="n"/>
      <c r="L153" s="257" t="n"/>
      <c r="M153" s="257" t="n"/>
      <c r="N153" s="257" t="n"/>
      <c r="O153" s="257" t="n"/>
      <c r="P153" s="257" t="n"/>
      <c r="Q153" s="257" t="n"/>
      <c r="R153" s="257" t="n"/>
      <c r="S153" s="257" t="n"/>
      <c r="T153" s="257" t="n"/>
      <c r="U153" s="257" t="n"/>
      <c r="V153" s="257" t="n"/>
      <c r="W153" s="257" t="n"/>
      <c r="X153" s="257" t="n"/>
      <c r="Y153" s="257" t="n"/>
      <c r="Z153" s="257" t="n"/>
    </row>
    <row r="154">
      <c r="A154" s="257" t="n"/>
      <c r="B154" s="257" t="n"/>
      <c r="C154" s="257" t="n"/>
      <c r="D154" s="257" t="n"/>
      <c r="E154" s="257" t="n"/>
      <c r="F154" s="257" t="n"/>
      <c r="G154" s="257" t="n"/>
      <c r="H154" s="257" t="n"/>
      <c r="I154" s="257" t="n"/>
      <c r="J154" s="257" t="n"/>
      <c r="K154" s="257" t="n"/>
      <c r="L154" s="257" t="n"/>
      <c r="M154" s="257" t="n"/>
      <c r="N154" s="257" t="n"/>
      <c r="O154" s="257" t="n"/>
      <c r="P154" s="257" t="n"/>
      <c r="Q154" s="257" t="n"/>
      <c r="R154" s="257" t="n"/>
      <c r="S154" s="257" t="n"/>
      <c r="T154" s="257" t="n"/>
      <c r="U154" s="257" t="n"/>
      <c r="V154" s="257" t="n"/>
      <c r="W154" s="257" t="n"/>
      <c r="X154" s="257" t="n"/>
      <c r="Y154" s="257" t="n"/>
      <c r="Z154" s="257" t="n"/>
    </row>
    <row r="155">
      <c r="A155" s="257" t="n"/>
      <c r="B155" s="257" t="n"/>
      <c r="C155" s="257" t="n"/>
      <c r="D155" s="257" t="n"/>
      <c r="E155" s="257" t="n"/>
      <c r="F155" s="257" t="n"/>
      <c r="G155" s="257" t="n"/>
      <c r="H155" s="257" t="n"/>
      <c r="I155" s="257" t="n"/>
      <c r="J155" s="257" t="n"/>
      <c r="K155" s="257" t="n"/>
      <c r="L155" s="257" t="n"/>
      <c r="M155" s="257" t="n"/>
      <c r="N155" s="257" t="n"/>
      <c r="O155" s="257" t="n"/>
      <c r="P155" s="257" t="n"/>
      <c r="Q155" s="257" t="n"/>
      <c r="R155" s="257" t="n"/>
      <c r="S155" s="257" t="n"/>
      <c r="T155" s="257" t="n"/>
      <c r="U155" s="257" t="n"/>
      <c r="V155" s="257" t="n"/>
      <c r="W155" s="257" t="n"/>
      <c r="X155" s="257" t="n"/>
      <c r="Y155" s="257" t="n"/>
      <c r="Z155" s="257" t="n"/>
    </row>
    <row r="156">
      <c r="A156" s="257" t="n"/>
      <c r="B156" s="257" t="n"/>
      <c r="C156" s="257" t="n"/>
      <c r="D156" s="257" t="n"/>
      <c r="E156" s="257" t="n"/>
      <c r="F156" s="257" t="n"/>
      <c r="G156" s="257" t="n"/>
      <c r="H156" s="257" t="n"/>
      <c r="I156" s="257" t="n"/>
      <c r="J156" s="257" t="n"/>
      <c r="K156" s="257" t="n"/>
      <c r="L156" s="257" t="n"/>
      <c r="M156" s="257" t="n"/>
      <c r="N156" s="257" t="n"/>
      <c r="O156" s="257" t="n"/>
      <c r="P156" s="257" t="n"/>
      <c r="Q156" s="257" t="n"/>
      <c r="R156" s="257" t="n"/>
      <c r="S156" s="257" t="n"/>
      <c r="T156" s="257" t="n"/>
      <c r="U156" s="257" t="n"/>
      <c r="V156" s="257" t="n"/>
      <c r="W156" s="257" t="n"/>
      <c r="X156" s="257" t="n"/>
      <c r="Y156" s="257" t="n"/>
      <c r="Z156" s="257" t="n"/>
    </row>
    <row r="157">
      <c r="A157" s="257" t="n"/>
      <c r="B157" s="257" t="n"/>
      <c r="C157" s="257" t="n"/>
      <c r="D157" s="257" t="n"/>
      <c r="E157" s="257" t="n"/>
      <c r="F157" s="257" t="n"/>
      <c r="G157" s="257" t="n"/>
      <c r="H157" s="257" t="n"/>
      <c r="I157" s="257" t="n"/>
      <c r="J157" s="257" t="n"/>
      <c r="K157" s="257" t="n"/>
      <c r="L157" s="257" t="n"/>
      <c r="M157" s="257" t="n"/>
      <c r="N157" s="257" t="n"/>
      <c r="O157" s="257" t="n"/>
      <c r="P157" s="257" t="n"/>
      <c r="Q157" s="257" t="n"/>
      <c r="R157" s="257" t="n"/>
      <c r="S157" s="257" t="n"/>
      <c r="T157" s="257" t="n"/>
      <c r="U157" s="257" t="n"/>
      <c r="V157" s="257" t="n"/>
      <c r="W157" s="257" t="n"/>
      <c r="X157" s="257" t="n"/>
      <c r="Y157" s="257" t="n"/>
      <c r="Z157" s="257" t="n"/>
    </row>
    <row r="158">
      <c r="A158" s="257" t="n"/>
      <c r="B158" s="257" t="n"/>
      <c r="C158" s="257" t="n"/>
      <c r="D158" s="257" t="n"/>
      <c r="E158" s="257" t="n"/>
      <c r="F158" s="257" t="n"/>
      <c r="G158" s="257" t="n"/>
      <c r="H158" s="257" t="n"/>
      <c r="I158" s="257" t="n"/>
      <c r="J158" s="257" t="n"/>
      <c r="K158" s="257" t="n"/>
      <c r="L158" s="257" t="n"/>
      <c r="M158" s="257" t="n"/>
      <c r="N158" s="257" t="n"/>
      <c r="O158" s="257" t="n"/>
      <c r="P158" s="257" t="n"/>
      <c r="Q158" s="257" t="n"/>
      <c r="R158" s="257" t="n"/>
      <c r="S158" s="257" t="n"/>
      <c r="T158" s="257" t="n"/>
      <c r="U158" s="257" t="n"/>
      <c r="V158" s="257" t="n"/>
      <c r="W158" s="257" t="n"/>
      <c r="X158" s="257" t="n"/>
      <c r="Y158" s="257" t="n"/>
      <c r="Z158" s="257" t="n"/>
    </row>
    <row r="159">
      <c r="A159" s="257" t="n"/>
      <c r="B159" s="257" t="n"/>
      <c r="C159" s="257" t="n"/>
      <c r="D159" s="257" t="n"/>
      <c r="E159" s="257" t="n"/>
      <c r="F159" s="257" t="n"/>
      <c r="G159" s="257" t="n"/>
      <c r="H159" s="257" t="n"/>
      <c r="I159" s="257" t="n"/>
      <c r="J159" s="257" t="n"/>
      <c r="K159" s="257" t="n"/>
      <c r="L159" s="257" t="n"/>
      <c r="M159" s="257" t="n"/>
      <c r="N159" s="257" t="n"/>
      <c r="O159" s="257" t="n"/>
      <c r="P159" s="257" t="n"/>
      <c r="Q159" s="257" t="n"/>
      <c r="R159" s="257" t="n"/>
      <c r="S159" s="257" t="n"/>
      <c r="T159" s="257" t="n"/>
      <c r="U159" s="257" t="n"/>
      <c r="V159" s="257" t="n"/>
      <c r="W159" s="257" t="n"/>
      <c r="X159" s="257" t="n"/>
      <c r="Y159" s="257" t="n"/>
      <c r="Z159" s="257" t="n"/>
    </row>
    <row r="160">
      <c r="A160" s="257" t="n"/>
      <c r="B160" s="257" t="n"/>
      <c r="C160" s="257" t="n"/>
      <c r="D160" s="257" t="n"/>
      <c r="E160" s="257" t="n"/>
      <c r="F160" s="257" t="n"/>
      <c r="G160" s="257" t="n"/>
      <c r="H160" s="257" t="n"/>
      <c r="I160" s="257" t="n"/>
      <c r="J160" s="257" t="n"/>
      <c r="K160" s="257" t="n"/>
      <c r="L160" s="257" t="n"/>
      <c r="M160" s="257" t="n"/>
      <c r="N160" s="257" t="n"/>
      <c r="O160" s="257" t="n"/>
      <c r="P160" s="257" t="n"/>
      <c r="Q160" s="257" t="n"/>
      <c r="R160" s="257" t="n"/>
      <c r="S160" s="257" t="n"/>
      <c r="T160" s="257" t="n"/>
      <c r="U160" s="257" t="n"/>
      <c r="V160" s="257" t="n"/>
      <c r="W160" s="257" t="n"/>
      <c r="X160" s="257" t="n"/>
      <c r="Y160" s="257" t="n"/>
      <c r="Z160" s="257" t="n"/>
    </row>
    <row r="161">
      <c r="A161" s="257" t="n"/>
      <c r="B161" s="257" t="n"/>
      <c r="C161" s="257" t="n"/>
      <c r="D161" s="257" t="n"/>
      <c r="E161" s="257" t="n"/>
      <c r="F161" s="257" t="n"/>
      <c r="G161" s="257" t="n"/>
      <c r="H161" s="257" t="n"/>
      <c r="I161" s="257" t="n"/>
      <c r="J161" s="257" t="n"/>
      <c r="K161" s="257" t="n"/>
      <c r="L161" s="257" t="n"/>
      <c r="M161" s="257" t="n"/>
      <c r="N161" s="257" t="n"/>
      <c r="O161" s="257" t="n"/>
      <c r="P161" s="257" t="n"/>
      <c r="Q161" s="257" t="n"/>
      <c r="R161" s="257" t="n"/>
      <c r="S161" s="257" t="n"/>
      <c r="T161" s="257" t="n"/>
      <c r="U161" s="257" t="n"/>
      <c r="V161" s="257" t="n"/>
      <c r="W161" s="257" t="n"/>
      <c r="X161" s="257" t="n"/>
      <c r="Y161" s="257" t="n"/>
      <c r="Z161" s="257" t="n"/>
    </row>
    <row r="162">
      <c r="A162" s="257" t="n"/>
      <c r="B162" s="257" t="n"/>
      <c r="C162" s="257" t="n"/>
      <c r="D162" s="257" t="n"/>
      <c r="E162" s="257" t="n"/>
      <c r="F162" s="257" t="n"/>
      <c r="G162" s="257" t="n"/>
      <c r="H162" s="257" t="n"/>
      <c r="I162" s="257" t="n"/>
      <c r="J162" s="257" t="n"/>
      <c r="K162" s="257" t="n"/>
      <c r="L162" s="257" t="n"/>
      <c r="M162" s="257" t="n"/>
      <c r="N162" s="257" t="n"/>
      <c r="O162" s="257" t="n"/>
      <c r="P162" s="257" t="n"/>
      <c r="Q162" s="257" t="n"/>
      <c r="R162" s="257" t="n"/>
      <c r="S162" s="257" t="n"/>
      <c r="T162" s="257" t="n"/>
      <c r="U162" s="257" t="n"/>
      <c r="V162" s="257" t="n"/>
      <c r="W162" s="257" t="n"/>
      <c r="X162" s="257" t="n"/>
      <c r="Y162" s="257" t="n"/>
      <c r="Z162" s="257" t="n"/>
    </row>
    <row r="163">
      <c r="A163" s="257" t="n"/>
      <c r="B163" s="257" t="n"/>
      <c r="C163" s="257" t="n"/>
      <c r="D163" s="257" t="n"/>
      <c r="E163" s="257" t="n"/>
      <c r="F163" s="257" t="n"/>
      <c r="G163" s="257" t="n"/>
      <c r="H163" s="257" t="n"/>
      <c r="I163" s="257" t="n"/>
      <c r="J163" s="257" t="n"/>
      <c r="K163" s="257" t="n"/>
      <c r="L163" s="257" t="n"/>
      <c r="M163" s="257" t="n"/>
      <c r="N163" s="257" t="n"/>
      <c r="O163" s="257" t="n"/>
      <c r="P163" s="257" t="n"/>
      <c r="Q163" s="257" t="n"/>
      <c r="R163" s="257" t="n"/>
      <c r="S163" s="257" t="n"/>
      <c r="T163" s="257" t="n"/>
      <c r="U163" s="257" t="n"/>
      <c r="V163" s="257" t="n"/>
      <c r="W163" s="257" t="n"/>
      <c r="X163" s="257" t="n"/>
      <c r="Y163" s="257" t="n"/>
      <c r="Z163" s="257" t="n"/>
    </row>
    <row r="164">
      <c r="A164" s="257" t="n"/>
      <c r="B164" s="257" t="n"/>
      <c r="C164" s="257" t="n"/>
      <c r="D164" s="257" t="n"/>
      <c r="E164" s="257" t="n"/>
      <c r="F164" s="257" t="n"/>
      <c r="G164" s="257" t="n"/>
      <c r="H164" s="257" t="n"/>
      <c r="I164" s="257" t="n"/>
      <c r="J164" s="257" t="n"/>
      <c r="K164" s="257" t="n"/>
      <c r="L164" s="257" t="n"/>
      <c r="M164" s="257" t="n"/>
      <c r="N164" s="257" t="n"/>
      <c r="O164" s="257" t="n"/>
      <c r="P164" s="257" t="n"/>
      <c r="Q164" s="257" t="n"/>
      <c r="R164" s="257" t="n"/>
      <c r="S164" s="257" t="n"/>
      <c r="T164" s="257" t="n"/>
      <c r="U164" s="257" t="n"/>
      <c r="V164" s="257" t="n"/>
      <c r="W164" s="257" t="n"/>
      <c r="X164" s="257" t="n"/>
      <c r="Y164" s="257" t="n"/>
      <c r="Z164" s="257" t="n"/>
    </row>
    <row r="165">
      <c r="A165" s="257" t="n"/>
      <c r="B165" s="257" t="n"/>
      <c r="C165" s="257" t="n"/>
      <c r="D165" s="257" t="n"/>
      <c r="E165" s="257" t="n"/>
      <c r="F165" s="257" t="n"/>
      <c r="G165" s="257" t="n"/>
      <c r="H165" s="257" t="n"/>
      <c r="I165" s="257" t="n"/>
      <c r="J165" s="257" t="n"/>
      <c r="K165" s="257" t="n"/>
      <c r="L165" s="257" t="n"/>
      <c r="M165" s="257" t="n"/>
      <c r="N165" s="257" t="n"/>
      <c r="O165" s="257" t="n"/>
      <c r="P165" s="257" t="n"/>
      <c r="Q165" s="257" t="n"/>
      <c r="R165" s="257" t="n"/>
      <c r="S165" s="257" t="n"/>
      <c r="T165" s="257" t="n"/>
      <c r="U165" s="257" t="n"/>
      <c r="V165" s="257" t="n"/>
      <c r="W165" s="257" t="n"/>
      <c r="X165" s="257" t="n"/>
      <c r="Y165" s="257" t="n"/>
      <c r="Z165" s="257" t="n"/>
    </row>
    <row r="166">
      <c r="A166" s="257" t="n"/>
      <c r="B166" s="257" t="n"/>
      <c r="C166" s="257" t="n"/>
      <c r="D166" s="257" t="n"/>
      <c r="E166" s="257" t="n"/>
      <c r="F166" s="257" t="n"/>
      <c r="G166" s="257" t="n"/>
      <c r="H166" s="257" t="n"/>
      <c r="I166" s="257" t="n"/>
      <c r="J166" s="257" t="n"/>
      <c r="K166" s="257" t="n"/>
      <c r="L166" s="257" t="n"/>
      <c r="M166" s="257" t="n"/>
      <c r="N166" s="257" t="n"/>
      <c r="O166" s="257" t="n"/>
      <c r="P166" s="257" t="n"/>
      <c r="Q166" s="257" t="n"/>
      <c r="R166" s="257" t="n"/>
      <c r="S166" s="257" t="n"/>
      <c r="T166" s="257" t="n"/>
      <c r="U166" s="257" t="n"/>
      <c r="V166" s="257" t="n"/>
      <c r="W166" s="257" t="n"/>
      <c r="X166" s="257" t="n"/>
      <c r="Y166" s="257" t="n"/>
      <c r="Z166" s="257" t="n"/>
    </row>
    <row r="167">
      <c r="A167" s="257" t="n"/>
      <c r="B167" s="257" t="n"/>
      <c r="C167" s="257" t="n"/>
      <c r="D167" s="257" t="n"/>
      <c r="E167" s="257" t="n"/>
      <c r="F167" s="257" t="n"/>
      <c r="G167" s="257" t="n"/>
      <c r="H167" s="257" t="n"/>
      <c r="I167" s="257" t="n"/>
      <c r="J167" s="257" t="n"/>
      <c r="K167" s="257" t="n"/>
      <c r="L167" s="257" t="n"/>
      <c r="M167" s="257" t="n"/>
      <c r="N167" s="257" t="n"/>
      <c r="O167" s="257" t="n"/>
      <c r="P167" s="257" t="n"/>
      <c r="Q167" s="257" t="n"/>
      <c r="R167" s="257" t="n"/>
      <c r="S167" s="257" t="n"/>
      <c r="T167" s="257" t="n"/>
      <c r="U167" s="257" t="n"/>
      <c r="V167" s="257" t="n"/>
      <c r="W167" s="257" t="n"/>
      <c r="X167" s="257" t="n"/>
      <c r="Y167" s="257" t="n"/>
      <c r="Z167" s="257" t="n"/>
    </row>
    <row r="168">
      <c r="A168" s="257" t="n"/>
      <c r="B168" s="257" t="n"/>
      <c r="C168" s="257" t="n"/>
      <c r="D168" s="257" t="n"/>
      <c r="E168" s="257" t="n"/>
      <c r="F168" s="257" t="n"/>
      <c r="G168" s="257" t="n"/>
      <c r="H168" s="257" t="n"/>
      <c r="I168" s="257" t="n"/>
      <c r="J168" s="257" t="n"/>
      <c r="K168" s="257" t="n"/>
      <c r="L168" s="257" t="n"/>
      <c r="M168" s="257" t="n"/>
      <c r="N168" s="257" t="n"/>
      <c r="O168" s="257" t="n"/>
      <c r="P168" s="257" t="n"/>
      <c r="Q168" s="257" t="n"/>
      <c r="R168" s="257" t="n"/>
      <c r="S168" s="257" t="n"/>
      <c r="T168" s="257" t="n"/>
      <c r="U168" s="257" t="n"/>
      <c r="V168" s="257" t="n"/>
      <c r="W168" s="257" t="n"/>
      <c r="X168" s="257" t="n"/>
      <c r="Y168" s="257" t="n"/>
      <c r="Z168" s="257" t="n"/>
    </row>
    <row r="169">
      <c r="A169" s="257" t="n"/>
      <c r="B169" s="257" t="n"/>
      <c r="C169" s="257" t="n"/>
      <c r="D169" s="257" t="n"/>
      <c r="E169" s="257" t="n"/>
      <c r="F169" s="257" t="n"/>
      <c r="G169" s="257" t="n"/>
      <c r="H169" s="257" t="n"/>
      <c r="I169" s="257" t="n"/>
      <c r="J169" s="257" t="n"/>
      <c r="K169" s="257" t="n"/>
      <c r="L169" s="257" t="n"/>
      <c r="M169" s="257" t="n"/>
      <c r="N169" s="257" t="n"/>
      <c r="O169" s="257" t="n"/>
      <c r="P169" s="257" t="n"/>
      <c r="Q169" s="257" t="n"/>
      <c r="R169" s="257" t="n"/>
      <c r="S169" s="257" t="n"/>
      <c r="T169" s="257" t="n"/>
      <c r="U169" s="257" t="n"/>
      <c r="V169" s="257" t="n"/>
      <c r="W169" s="257" t="n"/>
      <c r="X169" s="257" t="n"/>
      <c r="Y169" s="257" t="n"/>
      <c r="Z169" s="257" t="n"/>
    </row>
    <row r="170">
      <c r="A170" s="257" t="n"/>
      <c r="B170" s="257" t="n"/>
      <c r="C170" s="257" t="n"/>
      <c r="D170" s="257" t="n"/>
      <c r="E170" s="257" t="n"/>
      <c r="F170" s="257" t="n"/>
      <c r="G170" s="257" t="n"/>
      <c r="H170" s="257" t="n"/>
      <c r="I170" s="257" t="n"/>
      <c r="J170" s="257" t="n"/>
      <c r="K170" s="257" t="n"/>
      <c r="L170" s="257" t="n"/>
      <c r="M170" s="257" t="n"/>
      <c r="N170" s="257" t="n"/>
      <c r="O170" s="257" t="n"/>
      <c r="P170" s="257" t="n"/>
      <c r="Q170" s="257" t="n"/>
      <c r="R170" s="257" t="n"/>
      <c r="S170" s="257" t="n"/>
      <c r="T170" s="257" t="n"/>
      <c r="U170" s="257" t="n"/>
      <c r="V170" s="257" t="n"/>
      <c r="W170" s="257" t="n"/>
      <c r="X170" s="257" t="n"/>
      <c r="Y170" s="257" t="n"/>
      <c r="Z170" s="257" t="n"/>
    </row>
    <row r="171">
      <c r="A171" s="257" t="n"/>
      <c r="B171" s="257" t="n"/>
      <c r="C171" s="257" t="n"/>
      <c r="D171" s="257" t="n"/>
      <c r="E171" s="257" t="n"/>
      <c r="F171" s="257" t="n"/>
      <c r="G171" s="257" t="n"/>
      <c r="H171" s="257" t="n"/>
      <c r="I171" s="257" t="n"/>
      <c r="J171" s="257" t="n"/>
      <c r="K171" s="257" t="n"/>
      <c r="L171" s="257" t="n"/>
      <c r="M171" s="257" t="n"/>
      <c r="N171" s="257" t="n"/>
      <c r="O171" s="257" t="n"/>
      <c r="P171" s="257" t="n"/>
      <c r="Q171" s="257" t="n"/>
      <c r="R171" s="257" t="n"/>
      <c r="S171" s="257" t="n"/>
      <c r="T171" s="257" t="n"/>
      <c r="U171" s="257" t="n"/>
      <c r="V171" s="257" t="n"/>
      <c r="W171" s="257" t="n"/>
      <c r="X171" s="257" t="n"/>
      <c r="Y171" s="257" t="n"/>
      <c r="Z171" s="257" t="n"/>
    </row>
    <row r="172">
      <c r="A172" s="257" t="n"/>
      <c r="B172" s="257" t="n"/>
      <c r="C172" s="257" t="n"/>
      <c r="D172" s="257" t="n"/>
      <c r="E172" s="257" t="n"/>
      <c r="F172" s="257" t="n"/>
      <c r="G172" s="257" t="n"/>
      <c r="H172" s="257" t="n"/>
      <c r="I172" s="257" t="n"/>
      <c r="J172" s="257" t="n"/>
      <c r="K172" s="257" t="n"/>
      <c r="L172" s="257" t="n"/>
      <c r="M172" s="257" t="n"/>
      <c r="N172" s="257" t="n"/>
      <c r="O172" s="257" t="n"/>
      <c r="P172" s="257" t="n"/>
      <c r="Q172" s="257" t="n"/>
      <c r="R172" s="257" t="n"/>
      <c r="S172" s="257" t="n"/>
      <c r="T172" s="257" t="n"/>
      <c r="U172" s="257" t="n"/>
      <c r="V172" s="257" t="n"/>
      <c r="W172" s="257" t="n"/>
      <c r="X172" s="257" t="n"/>
      <c r="Y172" s="257" t="n"/>
      <c r="Z172" s="257" t="n"/>
    </row>
    <row r="173">
      <c r="A173" s="257" t="n"/>
      <c r="B173" s="257" t="n"/>
      <c r="C173" s="257" t="n"/>
      <c r="D173" s="257" t="n"/>
      <c r="E173" s="257" t="n"/>
      <c r="F173" s="257" t="n"/>
      <c r="G173" s="257" t="n"/>
      <c r="H173" s="257" t="n"/>
      <c r="I173" s="257" t="n"/>
      <c r="J173" s="257" t="n"/>
      <c r="K173" s="257" t="n"/>
      <c r="L173" s="257" t="n"/>
      <c r="M173" s="257" t="n"/>
      <c r="N173" s="257" t="n"/>
      <c r="O173" s="257" t="n"/>
      <c r="P173" s="257" t="n"/>
      <c r="Q173" s="257" t="n"/>
      <c r="R173" s="257" t="n"/>
      <c r="S173" s="257" t="n"/>
      <c r="T173" s="257" t="n"/>
      <c r="U173" s="257" t="n"/>
      <c r="V173" s="257" t="n"/>
      <c r="W173" s="257" t="n"/>
      <c r="X173" s="257" t="n"/>
      <c r="Y173" s="257" t="n"/>
      <c r="Z173" s="257" t="n"/>
    </row>
    <row r="174">
      <c r="A174" s="257" t="n"/>
      <c r="B174" s="257" t="n"/>
      <c r="C174" s="257" t="n"/>
      <c r="D174" s="257" t="n"/>
      <c r="E174" s="257" t="n"/>
      <c r="F174" s="257" t="n"/>
      <c r="G174" s="257" t="n"/>
      <c r="H174" s="257" t="n"/>
      <c r="I174" s="257" t="n"/>
      <c r="J174" s="257" t="n"/>
      <c r="K174" s="257" t="n"/>
      <c r="L174" s="257" t="n"/>
      <c r="M174" s="257" t="n"/>
      <c r="N174" s="257" t="n"/>
      <c r="O174" s="257" t="n"/>
      <c r="P174" s="257" t="n"/>
      <c r="Q174" s="257" t="n"/>
      <c r="R174" s="257" t="n"/>
      <c r="S174" s="257" t="n"/>
      <c r="T174" s="257" t="n"/>
      <c r="U174" s="257" t="n"/>
      <c r="V174" s="257" t="n"/>
      <c r="W174" s="257" t="n"/>
      <c r="X174" s="257" t="n"/>
      <c r="Y174" s="257" t="n"/>
      <c r="Z174" s="257" t="n"/>
    </row>
    <row r="175">
      <c r="A175" s="257" t="n"/>
      <c r="B175" s="257" t="n"/>
      <c r="C175" s="257" t="n"/>
      <c r="D175" s="257" t="n"/>
      <c r="E175" s="257" t="n"/>
      <c r="F175" s="257" t="n"/>
      <c r="G175" s="257" t="n"/>
      <c r="H175" s="257" t="n"/>
      <c r="I175" s="257" t="n"/>
      <c r="J175" s="257" t="n"/>
      <c r="K175" s="257" t="n"/>
      <c r="L175" s="257" t="n"/>
      <c r="M175" s="257" t="n"/>
      <c r="N175" s="257" t="n"/>
      <c r="O175" s="257" t="n"/>
      <c r="P175" s="257" t="n"/>
      <c r="Q175" s="257" t="n"/>
      <c r="R175" s="257" t="n"/>
      <c r="S175" s="257" t="n"/>
      <c r="T175" s="257" t="n"/>
      <c r="U175" s="257" t="n"/>
      <c r="V175" s="257" t="n"/>
      <c r="W175" s="257" t="n"/>
      <c r="X175" s="257" t="n"/>
      <c r="Y175" s="257" t="n"/>
      <c r="Z175" s="257" t="n"/>
    </row>
    <row r="176">
      <c r="A176" s="257" t="n"/>
      <c r="B176" s="257" t="n"/>
      <c r="C176" s="257" t="n"/>
      <c r="D176" s="257" t="n"/>
      <c r="E176" s="257" t="n"/>
      <c r="F176" s="257" t="n"/>
      <c r="G176" s="257" t="n"/>
      <c r="H176" s="257" t="n"/>
      <c r="I176" s="257" t="n"/>
      <c r="J176" s="257" t="n"/>
      <c r="K176" s="257" t="n"/>
      <c r="L176" s="257" t="n"/>
      <c r="M176" s="257" t="n"/>
      <c r="N176" s="257" t="n"/>
      <c r="O176" s="257" t="n"/>
      <c r="P176" s="257" t="n"/>
      <c r="Q176" s="257" t="n"/>
      <c r="R176" s="257" t="n"/>
      <c r="S176" s="257" t="n"/>
      <c r="T176" s="257" t="n"/>
      <c r="U176" s="257" t="n"/>
      <c r="V176" s="257" t="n"/>
      <c r="W176" s="257" t="n"/>
      <c r="X176" s="257" t="n"/>
      <c r="Y176" s="257" t="n"/>
      <c r="Z176" s="257" t="n"/>
    </row>
    <row r="177">
      <c r="A177" s="257" t="n"/>
      <c r="B177" s="257" t="n"/>
      <c r="C177" s="257" t="n"/>
      <c r="D177" s="257" t="n"/>
      <c r="E177" s="257" t="n"/>
      <c r="F177" s="257" t="n"/>
      <c r="G177" s="257" t="n"/>
      <c r="H177" s="257" t="n"/>
      <c r="I177" s="257" t="n"/>
      <c r="J177" s="257" t="n"/>
      <c r="K177" s="257" t="n"/>
      <c r="L177" s="257" t="n"/>
      <c r="M177" s="257" t="n"/>
      <c r="N177" s="257" t="n"/>
      <c r="O177" s="257" t="n"/>
      <c r="P177" s="257" t="n"/>
      <c r="Q177" s="257" t="n"/>
      <c r="R177" s="257" t="n"/>
      <c r="S177" s="257" t="n"/>
      <c r="T177" s="257" t="n"/>
      <c r="U177" s="257" t="n"/>
      <c r="V177" s="257" t="n"/>
      <c r="W177" s="257" t="n"/>
      <c r="X177" s="257" t="n"/>
      <c r="Y177" s="257" t="n"/>
      <c r="Z177" s="257" t="n"/>
    </row>
    <row r="178">
      <c r="A178" s="257" t="n"/>
      <c r="B178" s="257" t="n"/>
      <c r="C178" s="257" t="n"/>
      <c r="D178" s="257" t="n"/>
      <c r="E178" s="257" t="n"/>
      <c r="F178" s="257" t="n"/>
      <c r="G178" s="257" t="n"/>
      <c r="H178" s="257" t="n"/>
      <c r="I178" s="257" t="n"/>
      <c r="J178" s="257" t="n"/>
      <c r="K178" s="257" t="n"/>
      <c r="L178" s="257" t="n"/>
      <c r="M178" s="257" t="n"/>
      <c r="N178" s="257" t="n"/>
      <c r="O178" s="257" t="n"/>
      <c r="P178" s="257" t="n"/>
      <c r="Q178" s="257" t="n"/>
      <c r="R178" s="257" t="n"/>
      <c r="S178" s="257" t="n"/>
      <c r="T178" s="257" t="n"/>
      <c r="U178" s="257" t="n"/>
      <c r="V178" s="257" t="n"/>
      <c r="W178" s="257" t="n"/>
      <c r="X178" s="257" t="n"/>
      <c r="Y178" s="257" t="n"/>
      <c r="Z178" s="257" t="n"/>
    </row>
    <row r="179">
      <c r="A179" s="257" t="n"/>
      <c r="B179" s="257" t="n"/>
      <c r="C179" s="257" t="n"/>
      <c r="D179" s="257" t="n"/>
      <c r="E179" s="257" t="n"/>
      <c r="F179" s="257" t="n"/>
      <c r="G179" s="257" t="n"/>
      <c r="H179" s="257" t="n"/>
      <c r="I179" s="257" t="n"/>
      <c r="J179" s="257" t="n"/>
      <c r="K179" s="257" t="n"/>
      <c r="L179" s="257" t="n"/>
      <c r="M179" s="257" t="n"/>
      <c r="N179" s="257" t="n"/>
      <c r="O179" s="257" t="n"/>
      <c r="P179" s="257" t="n"/>
      <c r="Q179" s="257" t="n"/>
      <c r="R179" s="257" t="n"/>
      <c r="S179" s="257" t="n"/>
      <c r="T179" s="257" t="n"/>
      <c r="U179" s="257" t="n"/>
      <c r="V179" s="257" t="n"/>
      <c r="W179" s="257" t="n"/>
      <c r="X179" s="257" t="n"/>
      <c r="Y179" s="257" t="n"/>
      <c r="Z179" s="257" t="n"/>
    </row>
    <row r="180">
      <c r="A180" s="257" t="n"/>
      <c r="B180" s="257" t="n"/>
      <c r="C180" s="257" t="n"/>
      <c r="D180" s="257" t="n"/>
      <c r="E180" s="257" t="n"/>
      <c r="F180" s="257" t="n"/>
      <c r="G180" s="257" t="n"/>
      <c r="H180" s="257" t="n"/>
      <c r="I180" s="257" t="n"/>
      <c r="J180" s="257" t="n"/>
      <c r="K180" s="257" t="n"/>
      <c r="L180" s="257" t="n"/>
      <c r="M180" s="257" t="n"/>
      <c r="N180" s="257" t="n"/>
      <c r="O180" s="257" t="n"/>
      <c r="P180" s="257" t="n"/>
      <c r="Q180" s="257" t="n"/>
      <c r="R180" s="257" t="n"/>
      <c r="S180" s="257" t="n"/>
      <c r="T180" s="257" t="n"/>
      <c r="U180" s="257" t="n"/>
      <c r="V180" s="257" t="n"/>
      <c r="W180" s="257" t="n"/>
      <c r="X180" s="257" t="n"/>
      <c r="Y180" s="257" t="n"/>
      <c r="Z180" s="257" t="n"/>
    </row>
    <row r="181">
      <c r="A181" s="257" t="n"/>
      <c r="B181" s="257" t="n"/>
      <c r="C181" s="257" t="n"/>
      <c r="D181" s="257" t="n"/>
      <c r="E181" s="257" t="n"/>
      <c r="F181" s="257" t="n"/>
      <c r="G181" s="257" t="n"/>
      <c r="H181" s="257" t="n"/>
      <c r="I181" s="257" t="n"/>
      <c r="J181" s="257" t="n"/>
      <c r="K181" s="257" t="n"/>
      <c r="L181" s="257" t="n"/>
      <c r="M181" s="257" t="n"/>
      <c r="N181" s="257" t="n"/>
      <c r="O181" s="257" t="n"/>
      <c r="P181" s="257" t="n"/>
      <c r="Q181" s="257" t="n"/>
      <c r="R181" s="257" t="n"/>
      <c r="S181" s="257" t="n"/>
      <c r="T181" s="257" t="n"/>
      <c r="U181" s="257" t="n"/>
      <c r="V181" s="257" t="n"/>
      <c r="W181" s="257" t="n"/>
      <c r="X181" s="257" t="n"/>
      <c r="Y181" s="257" t="n"/>
      <c r="Z181" s="257" t="n"/>
    </row>
    <row r="182">
      <c r="A182" s="257" t="n"/>
      <c r="B182" s="257" t="n"/>
      <c r="C182" s="257" t="n"/>
      <c r="D182" s="257" t="n"/>
      <c r="E182" s="257" t="n"/>
      <c r="F182" s="257" t="n"/>
      <c r="G182" s="257" t="n"/>
      <c r="H182" s="257" t="n"/>
      <c r="I182" s="257" t="n"/>
      <c r="J182" s="257" t="n"/>
      <c r="K182" s="257" t="n"/>
      <c r="L182" s="257" t="n"/>
      <c r="M182" s="257" t="n"/>
      <c r="N182" s="257" t="n"/>
      <c r="O182" s="257" t="n"/>
      <c r="P182" s="257" t="n"/>
      <c r="Q182" s="257" t="n"/>
      <c r="R182" s="257" t="n"/>
      <c r="S182" s="257" t="n"/>
      <c r="T182" s="257" t="n"/>
      <c r="U182" s="257" t="n"/>
      <c r="V182" s="257" t="n"/>
      <c r="W182" s="257" t="n"/>
      <c r="X182" s="257" t="n"/>
      <c r="Y182" s="257" t="n"/>
      <c r="Z182" s="257" t="n"/>
    </row>
    <row r="183">
      <c r="A183" s="257" t="n"/>
      <c r="B183" s="257" t="n"/>
      <c r="C183" s="257" t="n"/>
      <c r="D183" s="257" t="n"/>
      <c r="E183" s="257" t="n"/>
      <c r="F183" s="257" t="n"/>
      <c r="G183" s="257" t="n"/>
      <c r="H183" s="257" t="n"/>
      <c r="I183" s="257" t="n"/>
      <c r="J183" s="257" t="n"/>
      <c r="K183" s="257" t="n"/>
      <c r="L183" s="257" t="n"/>
      <c r="M183" s="257" t="n"/>
      <c r="N183" s="257" t="n"/>
      <c r="O183" s="257" t="n"/>
      <c r="P183" s="257" t="n"/>
      <c r="Q183" s="257" t="n"/>
      <c r="R183" s="257" t="n"/>
      <c r="S183" s="257" t="n"/>
      <c r="T183" s="257" t="n"/>
      <c r="U183" s="257" t="n"/>
      <c r="V183" s="257" t="n"/>
      <c r="W183" s="257" t="n"/>
      <c r="X183" s="257" t="n"/>
      <c r="Y183" s="257" t="n"/>
      <c r="Z183" s="257" t="n"/>
    </row>
    <row r="184">
      <c r="A184" s="257" t="n"/>
      <c r="B184" s="257" t="n"/>
      <c r="C184" s="257" t="n"/>
      <c r="D184" s="257" t="n"/>
      <c r="E184" s="257" t="n"/>
      <c r="F184" s="257" t="n"/>
      <c r="G184" s="257" t="n"/>
      <c r="H184" s="257" t="n"/>
      <c r="I184" s="257" t="n"/>
      <c r="J184" s="257" t="n"/>
      <c r="K184" s="257" t="n"/>
      <c r="L184" s="257" t="n"/>
      <c r="M184" s="257" t="n"/>
      <c r="N184" s="257" t="n"/>
      <c r="O184" s="257" t="n"/>
      <c r="P184" s="257" t="n"/>
      <c r="Q184" s="257" t="n"/>
      <c r="R184" s="257" t="n"/>
      <c r="S184" s="257" t="n"/>
      <c r="T184" s="257" t="n"/>
      <c r="U184" s="257" t="n"/>
      <c r="V184" s="257" t="n"/>
      <c r="W184" s="257" t="n"/>
      <c r="X184" s="257" t="n"/>
      <c r="Y184" s="257" t="n"/>
      <c r="Z184" s="257" t="n"/>
    </row>
    <row r="185">
      <c r="A185" s="257" t="n"/>
      <c r="B185" s="257" t="n"/>
      <c r="C185" s="257" t="n"/>
      <c r="D185" s="257" t="n"/>
      <c r="E185" s="257" t="n"/>
      <c r="F185" s="257" t="n"/>
      <c r="G185" s="257" t="n"/>
      <c r="H185" s="257" t="n"/>
      <c r="I185" s="257" t="n"/>
      <c r="J185" s="257" t="n"/>
      <c r="K185" s="257" t="n"/>
      <c r="L185" s="257" t="n"/>
      <c r="M185" s="257" t="n"/>
      <c r="N185" s="257" t="n"/>
      <c r="O185" s="257" t="n"/>
      <c r="P185" s="257" t="n"/>
      <c r="Q185" s="257" t="n"/>
      <c r="R185" s="257" t="n"/>
      <c r="S185" s="257" t="n"/>
      <c r="T185" s="257" t="n"/>
      <c r="U185" s="257" t="n"/>
      <c r="V185" s="257" t="n"/>
      <c r="W185" s="257" t="n"/>
      <c r="X185" s="257" t="n"/>
      <c r="Y185" s="257" t="n"/>
      <c r="Z185" s="257" t="n"/>
    </row>
    <row r="186">
      <c r="A186" s="257" t="n"/>
      <c r="B186" s="257" t="n"/>
      <c r="C186" s="257" t="n"/>
      <c r="D186" s="257" t="n"/>
      <c r="E186" s="257" t="n"/>
      <c r="F186" s="257" t="n"/>
      <c r="G186" s="257" t="n"/>
      <c r="H186" s="257" t="n"/>
      <c r="I186" s="257" t="n"/>
      <c r="J186" s="257" t="n"/>
      <c r="K186" s="257" t="n"/>
      <c r="L186" s="257" t="n"/>
      <c r="M186" s="257" t="n"/>
      <c r="N186" s="257" t="n"/>
      <c r="O186" s="257" t="n"/>
      <c r="P186" s="257" t="n"/>
      <c r="Q186" s="257" t="n"/>
      <c r="R186" s="257" t="n"/>
      <c r="S186" s="257" t="n"/>
      <c r="T186" s="257" t="n"/>
      <c r="U186" s="257" t="n"/>
      <c r="V186" s="257" t="n"/>
      <c r="W186" s="257" t="n"/>
      <c r="X186" s="257" t="n"/>
      <c r="Y186" s="257" t="n"/>
      <c r="Z186" s="257" t="n"/>
    </row>
    <row r="187">
      <c r="A187" s="257" t="n"/>
      <c r="B187" s="257" t="n"/>
      <c r="C187" s="257" t="n"/>
      <c r="D187" s="257" t="n"/>
      <c r="E187" s="257" t="n"/>
      <c r="F187" s="257" t="n"/>
      <c r="G187" s="257" t="n"/>
      <c r="H187" s="257" t="n"/>
      <c r="I187" s="257" t="n"/>
      <c r="J187" s="257" t="n"/>
      <c r="K187" s="257" t="n"/>
      <c r="L187" s="257" t="n"/>
      <c r="M187" s="257" t="n"/>
      <c r="N187" s="257" t="n"/>
      <c r="O187" s="257" t="n"/>
      <c r="P187" s="257" t="n"/>
      <c r="Q187" s="257" t="n"/>
      <c r="R187" s="257" t="n"/>
      <c r="S187" s="257" t="n"/>
      <c r="T187" s="257" t="n"/>
      <c r="U187" s="257" t="n"/>
      <c r="V187" s="257" t="n"/>
      <c r="W187" s="257" t="n"/>
      <c r="X187" s="257" t="n"/>
      <c r="Y187" s="257" t="n"/>
      <c r="Z187" s="257" t="n"/>
    </row>
    <row r="188">
      <c r="A188" s="257" t="n"/>
      <c r="B188" s="257" t="n"/>
      <c r="C188" s="257" t="n"/>
      <c r="D188" s="257" t="n"/>
      <c r="E188" s="257" t="n"/>
      <c r="F188" s="257" t="n"/>
      <c r="G188" s="257" t="n"/>
      <c r="H188" s="257" t="n"/>
      <c r="I188" s="257" t="n"/>
      <c r="J188" s="257" t="n"/>
      <c r="K188" s="257" t="n"/>
      <c r="L188" s="257" t="n"/>
      <c r="M188" s="257" t="n"/>
      <c r="N188" s="257" t="n"/>
      <c r="O188" s="257" t="n"/>
      <c r="P188" s="257" t="n"/>
      <c r="Q188" s="257" t="n"/>
      <c r="R188" s="257" t="n"/>
      <c r="S188" s="257" t="n"/>
      <c r="T188" s="257" t="n"/>
      <c r="U188" s="257" t="n"/>
      <c r="V188" s="257" t="n"/>
      <c r="W188" s="257" t="n"/>
      <c r="X188" s="257" t="n"/>
      <c r="Y188" s="257" t="n"/>
      <c r="Z188" s="257" t="n"/>
    </row>
    <row r="189">
      <c r="A189" s="257" t="n"/>
      <c r="B189" s="257" t="n"/>
      <c r="C189" s="257" t="n"/>
      <c r="D189" s="257" t="n"/>
      <c r="E189" s="257" t="n"/>
      <c r="F189" s="257" t="n"/>
      <c r="G189" s="257" t="n"/>
      <c r="H189" s="257" t="n"/>
      <c r="I189" s="257" t="n"/>
      <c r="J189" s="257" t="n"/>
      <c r="K189" s="257" t="n"/>
      <c r="L189" s="257" t="n"/>
      <c r="M189" s="257" t="n"/>
      <c r="N189" s="257" t="n"/>
      <c r="O189" s="257" t="n"/>
      <c r="P189" s="257" t="n"/>
      <c r="Q189" s="257" t="n"/>
      <c r="R189" s="257" t="n"/>
      <c r="S189" s="257" t="n"/>
      <c r="T189" s="257" t="n"/>
      <c r="U189" s="257" t="n"/>
      <c r="V189" s="257" t="n"/>
      <c r="W189" s="257" t="n"/>
      <c r="X189" s="257" t="n"/>
      <c r="Y189" s="257" t="n"/>
      <c r="Z189" s="257" t="n"/>
    </row>
    <row r="190">
      <c r="A190" s="257" t="n"/>
      <c r="B190" s="257" t="n"/>
      <c r="C190" s="257" t="n"/>
      <c r="D190" s="257" t="n"/>
      <c r="E190" s="257" t="n"/>
      <c r="F190" s="257" t="n"/>
      <c r="G190" s="257" t="n"/>
      <c r="H190" s="257" t="n"/>
      <c r="I190" s="257" t="n"/>
      <c r="J190" s="257" t="n"/>
      <c r="K190" s="257" t="n"/>
      <c r="L190" s="257" t="n"/>
      <c r="M190" s="257" t="n"/>
      <c r="N190" s="257" t="n"/>
      <c r="O190" s="257" t="n"/>
      <c r="P190" s="257" t="n"/>
      <c r="Q190" s="257" t="n"/>
      <c r="R190" s="257" t="n"/>
      <c r="S190" s="257" t="n"/>
      <c r="T190" s="257" t="n"/>
      <c r="U190" s="257" t="n"/>
      <c r="V190" s="257" t="n"/>
      <c r="W190" s="257" t="n"/>
      <c r="X190" s="257" t="n"/>
      <c r="Y190" s="257" t="n"/>
      <c r="Z190" s="257" t="n"/>
    </row>
    <row r="191">
      <c r="A191" s="257" t="n"/>
      <c r="B191" s="257" t="n"/>
      <c r="C191" s="257" t="n"/>
      <c r="D191" s="257" t="n"/>
      <c r="E191" s="257" t="n"/>
      <c r="F191" s="257" t="n"/>
      <c r="G191" s="257" t="n"/>
      <c r="H191" s="257" t="n"/>
      <c r="I191" s="257" t="n"/>
      <c r="J191" s="257" t="n"/>
      <c r="K191" s="257" t="n"/>
      <c r="L191" s="257" t="n"/>
      <c r="M191" s="257" t="n"/>
      <c r="N191" s="257" t="n"/>
      <c r="O191" s="257" t="n"/>
      <c r="P191" s="257" t="n"/>
      <c r="Q191" s="257" t="n"/>
      <c r="R191" s="257" t="n"/>
      <c r="S191" s="257" t="n"/>
      <c r="T191" s="257" t="n"/>
      <c r="U191" s="257" t="n"/>
      <c r="V191" s="257" t="n"/>
      <c r="W191" s="257" t="n"/>
      <c r="X191" s="257" t="n"/>
      <c r="Y191" s="257" t="n"/>
      <c r="Z191" s="257" t="n"/>
    </row>
    <row r="192">
      <c r="A192" s="257" t="n"/>
      <c r="B192" s="257" t="n"/>
      <c r="C192" s="257" t="n"/>
      <c r="D192" s="257" t="n"/>
      <c r="E192" s="257" t="n"/>
      <c r="F192" s="257" t="n"/>
      <c r="G192" s="257" t="n"/>
      <c r="H192" s="257" t="n"/>
      <c r="I192" s="257" t="n"/>
      <c r="J192" s="257" t="n"/>
      <c r="K192" s="257" t="n"/>
      <c r="L192" s="257" t="n"/>
      <c r="M192" s="257" t="n"/>
      <c r="N192" s="257" t="n"/>
      <c r="O192" s="257" t="n"/>
      <c r="P192" s="257" t="n"/>
      <c r="Q192" s="257" t="n"/>
      <c r="R192" s="257" t="n"/>
      <c r="S192" s="257" t="n"/>
      <c r="T192" s="257" t="n"/>
      <c r="U192" s="257" t="n"/>
      <c r="V192" s="257" t="n"/>
      <c r="W192" s="257" t="n"/>
      <c r="X192" s="257" t="n"/>
      <c r="Y192" s="257" t="n"/>
      <c r="Z192" s="257" t="n"/>
    </row>
    <row r="193">
      <c r="A193" s="257" t="n"/>
      <c r="B193" s="257" t="n"/>
      <c r="C193" s="257" t="n"/>
      <c r="D193" s="257" t="n"/>
      <c r="E193" s="257" t="n"/>
      <c r="F193" s="257" t="n"/>
      <c r="G193" s="257" t="n"/>
      <c r="H193" s="257" t="n"/>
      <c r="I193" s="257" t="n"/>
      <c r="J193" s="257" t="n"/>
      <c r="K193" s="257" t="n"/>
      <c r="L193" s="257" t="n"/>
      <c r="M193" s="257" t="n"/>
      <c r="N193" s="257" t="n"/>
      <c r="O193" s="257" t="n"/>
      <c r="P193" s="257" t="n"/>
      <c r="Q193" s="257" t="n"/>
      <c r="R193" s="257" t="n"/>
      <c r="S193" s="257" t="n"/>
      <c r="T193" s="257" t="n"/>
      <c r="U193" s="257" t="n"/>
      <c r="V193" s="257" t="n"/>
      <c r="W193" s="257" t="n"/>
      <c r="X193" s="257" t="n"/>
      <c r="Y193" s="257" t="n"/>
      <c r="Z193" s="257" t="n"/>
    </row>
    <row r="194">
      <c r="A194" s="257" t="n"/>
      <c r="B194" s="257" t="n"/>
      <c r="C194" s="257" t="n"/>
      <c r="D194" s="257" t="n"/>
      <c r="E194" s="257" t="n"/>
      <c r="F194" s="257" t="n"/>
      <c r="G194" s="257" t="n"/>
      <c r="H194" s="257" t="n"/>
      <c r="I194" s="257" t="n"/>
      <c r="J194" s="257" t="n"/>
      <c r="K194" s="257" t="n"/>
      <c r="L194" s="257" t="n"/>
      <c r="M194" s="257" t="n"/>
      <c r="N194" s="257" t="n"/>
      <c r="O194" s="257" t="n"/>
      <c r="P194" s="257" t="n"/>
      <c r="Q194" s="257" t="n"/>
      <c r="R194" s="257" t="n"/>
      <c r="S194" s="257" t="n"/>
      <c r="T194" s="257" t="n"/>
      <c r="U194" s="257" t="n"/>
      <c r="V194" s="257" t="n"/>
      <c r="W194" s="257" t="n"/>
      <c r="X194" s="257" t="n"/>
      <c r="Y194" s="257" t="n"/>
      <c r="Z194" s="257" t="n"/>
    </row>
    <row r="195">
      <c r="A195" s="257" t="n"/>
      <c r="B195" s="257" t="n"/>
      <c r="C195" s="257" t="n"/>
      <c r="D195" s="257" t="n"/>
      <c r="E195" s="257" t="n"/>
      <c r="F195" s="257" t="n"/>
      <c r="G195" s="257" t="n"/>
      <c r="H195" s="257" t="n"/>
      <c r="I195" s="257" t="n"/>
      <c r="J195" s="257" t="n"/>
      <c r="K195" s="257" t="n"/>
      <c r="L195" s="257" t="n"/>
      <c r="M195" s="257" t="n"/>
      <c r="N195" s="257" t="n"/>
      <c r="O195" s="257" t="n"/>
      <c r="P195" s="257" t="n"/>
      <c r="Q195" s="257" t="n"/>
      <c r="R195" s="257" t="n"/>
      <c r="S195" s="257" t="n"/>
      <c r="T195" s="257" t="n"/>
      <c r="U195" s="257" t="n"/>
      <c r="V195" s="257" t="n"/>
      <c r="W195" s="257" t="n"/>
      <c r="X195" s="257" t="n"/>
      <c r="Y195" s="257" t="n"/>
      <c r="Z195" s="257" t="n"/>
    </row>
    <row r="196">
      <c r="A196" s="257" t="n"/>
      <c r="B196" s="257" t="n"/>
      <c r="C196" s="257" t="n"/>
      <c r="D196" s="257" t="n"/>
      <c r="E196" s="257" t="n"/>
      <c r="F196" s="257" t="n"/>
      <c r="G196" s="257" t="n"/>
      <c r="H196" s="257" t="n"/>
      <c r="I196" s="257" t="n"/>
      <c r="J196" s="257" t="n"/>
      <c r="K196" s="257" t="n"/>
      <c r="L196" s="257" t="n"/>
      <c r="M196" s="257" t="n"/>
      <c r="N196" s="257" t="n"/>
      <c r="O196" s="257" t="n"/>
      <c r="P196" s="257" t="n"/>
      <c r="Q196" s="257" t="n"/>
      <c r="R196" s="257" t="n"/>
      <c r="S196" s="257" t="n"/>
      <c r="T196" s="257" t="n"/>
      <c r="U196" s="257" t="n"/>
      <c r="V196" s="257" t="n"/>
      <c r="W196" s="257" t="n"/>
      <c r="X196" s="257" t="n"/>
      <c r="Y196" s="257" t="n"/>
      <c r="Z196" s="257" t="n"/>
    </row>
    <row r="197">
      <c r="A197" s="257" t="n"/>
      <c r="B197" s="257" t="n"/>
      <c r="C197" s="257" t="n"/>
      <c r="D197" s="257" t="n"/>
      <c r="E197" s="257" t="n"/>
      <c r="F197" s="257" t="n"/>
      <c r="G197" s="257" t="n"/>
      <c r="H197" s="257" t="n"/>
      <c r="I197" s="257" t="n"/>
      <c r="J197" s="257" t="n"/>
      <c r="K197" s="257" t="n"/>
      <c r="L197" s="257" t="n"/>
      <c r="M197" s="257" t="n"/>
      <c r="N197" s="257" t="n"/>
      <c r="O197" s="257" t="n"/>
      <c r="P197" s="257" t="n"/>
      <c r="Q197" s="257" t="n"/>
      <c r="R197" s="257" t="n"/>
      <c r="S197" s="257" t="n"/>
      <c r="T197" s="257" t="n"/>
      <c r="U197" s="257" t="n"/>
      <c r="V197" s="257" t="n"/>
      <c r="W197" s="257" t="n"/>
      <c r="X197" s="257" t="n"/>
      <c r="Y197" s="257" t="n"/>
      <c r="Z197" s="257" t="n"/>
    </row>
    <row r="198">
      <c r="A198" s="257" t="n"/>
      <c r="B198" s="257" t="n"/>
      <c r="C198" s="257" t="n"/>
      <c r="D198" s="257" t="n"/>
      <c r="E198" s="257" t="n"/>
      <c r="F198" s="257" t="n"/>
      <c r="G198" s="257" t="n"/>
      <c r="H198" s="257" t="n"/>
      <c r="I198" s="257" t="n"/>
      <c r="J198" s="257" t="n"/>
      <c r="K198" s="257" t="n"/>
      <c r="L198" s="257" t="n"/>
      <c r="M198" s="257" t="n"/>
      <c r="N198" s="257" t="n"/>
      <c r="O198" s="257" t="n"/>
      <c r="P198" s="257" t="n"/>
      <c r="Q198" s="257" t="n"/>
      <c r="R198" s="257" t="n"/>
      <c r="S198" s="257" t="n"/>
      <c r="T198" s="257" t="n"/>
      <c r="U198" s="257" t="n"/>
      <c r="V198" s="257" t="n"/>
      <c r="W198" s="257" t="n"/>
      <c r="X198" s="257" t="n"/>
      <c r="Y198" s="257" t="n"/>
      <c r="Z198" s="257" t="n"/>
    </row>
    <row r="199">
      <c r="A199" s="257" t="n"/>
      <c r="B199" s="257" t="n"/>
      <c r="C199" s="257" t="n"/>
      <c r="D199" s="257" t="n"/>
      <c r="E199" s="257" t="n"/>
      <c r="F199" s="257" t="n"/>
      <c r="G199" s="257" t="n"/>
      <c r="H199" s="257" t="n"/>
      <c r="I199" s="257" t="n"/>
      <c r="J199" s="257" t="n"/>
      <c r="K199" s="257" t="n"/>
      <c r="L199" s="257" t="n"/>
      <c r="M199" s="257" t="n"/>
      <c r="N199" s="257" t="n"/>
      <c r="O199" s="257" t="n"/>
      <c r="P199" s="257" t="n"/>
      <c r="Q199" s="257" t="n"/>
      <c r="R199" s="257" t="n"/>
      <c r="S199" s="257" t="n"/>
      <c r="T199" s="257" t="n"/>
      <c r="U199" s="257" t="n"/>
      <c r="V199" s="257" t="n"/>
      <c r="W199" s="257" t="n"/>
      <c r="X199" s="257" t="n"/>
      <c r="Y199" s="257" t="n"/>
      <c r="Z199" s="257" t="n"/>
    </row>
    <row r="200">
      <c r="A200" s="257" t="n"/>
      <c r="B200" s="257" t="n"/>
      <c r="C200" s="257" t="n"/>
      <c r="D200" s="257" t="n"/>
      <c r="E200" s="257" t="n"/>
      <c r="F200" s="257" t="n"/>
      <c r="G200" s="257" t="n"/>
      <c r="H200" s="257" t="n"/>
      <c r="I200" s="257" t="n"/>
      <c r="J200" s="257" t="n"/>
      <c r="K200" s="257" t="n"/>
      <c r="L200" s="257" t="n"/>
      <c r="M200" s="257" t="n"/>
      <c r="N200" s="257" t="n"/>
      <c r="O200" s="257" t="n"/>
      <c r="P200" s="257" t="n"/>
      <c r="Q200" s="257" t="n"/>
      <c r="R200" s="257" t="n"/>
      <c r="S200" s="257" t="n"/>
      <c r="T200" s="257" t="n"/>
      <c r="U200" s="257" t="n"/>
      <c r="V200" s="257" t="n"/>
      <c r="W200" s="257" t="n"/>
      <c r="X200" s="257" t="n"/>
      <c r="Y200" s="257" t="n"/>
      <c r="Z200" s="257" t="n"/>
    </row>
  </sheetData>
  <mergeCells count="1"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System Architecture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>
      <c r="A3" s="1" t="n"/>
      <c r="B3" s="1" t="n"/>
      <c r="C3" s="1" t="n"/>
      <c r="D3" s="1" t="n"/>
      <c r="E3" s="1" t="n"/>
      <c r="F3" s="1" t="n"/>
      <c r="I3" s="1" t="n"/>
      <c r="J3" s="1" t="n"/>
      <c r="K3" s="1" t="n"/>
      <c r="L3" s="1" t="n"/>
      <c r="M3" s="1" t="n"/>
      <c r="N3" s="1" t="n"/>
    </row>
    <row r="4" ht="22" customHeight="1" s="51"/>
    <row r="5" ht="22" customHeight="1" s="51">
      <c r="B5" s="1" t="n"/>
      <c r="C5" s="1" t="n"/>
      <c r="D5" s="1" t="n"/>
      <c r="E5" s="1" t="n"/>
      <c r="J5" s="1" t="n"/>
      <c r="K5" s="1" t="n"/>
      <c r="L5" s="1" t="n"/>
      <c r="M5" s="1" t="n"/>
    </row>
    <row r="6" ht="22" customHeight="1" s="51">
      <c r="B6" s="1" t="n"/>
      <c r="C6" s="1" t="n"/>
      <c r="D6" s="1" t="n"/>
      <c r="E6" s="1" t="n"/>
      <c r="J6" s="1" t="n"/>
      <c r="K6" s="1" t="n"/>
      <c r="L6" s="1" t="n"/>
      <c r="M6" s="1" t="n"/>
    </row>
    <row r="7" ht="22" customHeight="1" s="51"/>
    <row r="8" ht="22" customHeight="1" s="51">
      <c r="C8" s="1" t="n"/>
      <c r="D8" s="1" t="n"/>
      <c r="K8" s="1" t="n"/>
      <c r="L8" s="1" t="n"/>
    </row>
    <row r="9" ht="22" customHeight="1" s="51">
      <c r="C9" s="1" t="n"/>
      <c r="D9" s="1" t="n"/>
      <c r="K9" s="1" t="n"/>
      <c r="L9" s="1" t="n"/>
    </row>
    <row r="10" ht="22" customHeight="1" s="51"/>
    <row r="11" ht="22" customHeight="1" s="51">
      <c r="B11" s="1" t="n"/>
      <c r="C11" s="1" t="n"/>
      <c r="D11" s="1" t="n"/>
      <c r="E11" s="1" t="n"/>
      <c r="J11" s="1" t="n"/>
      <c r="K11" s="1" t="n"/>
      <c r="L11" s="1" t="n"/>
      <c r="M11" s="1" t="n"/>
    </row>
    <row r="12" ht="22" customHeight="1" s="51">
      <c r="B12" s="1" t="n"/>
      <c r="C12" s="1" t="n"/>
      <c r="D12" s="1" t="n"/>
      <c r="E12" s="1" t="n"/>
      <c r="J12" s="1" t="n"/>
      <c r="K12" s="1" t="n"/>
      <c r="L12" s="1" t="n"/>
      <c r="M12" s="1" t="n"/>
    </row>
    <row r="13" ht="22" customHeight="1" s="51"/>
    <row r="14" ht="22" customHeight="1" s="51">
      <c r="C14" s="1" t="n"/>
      <c r="D14" s="1" t="n"/>
      <c r="K14" s="1" t="n"/>
      <c r="L14" s="1" t="n"/>
    </row>
    <row r="15" ht="22" customHeight="1" s="51">
      <c r="C15" s="1" t="n"/>
      <c r="D15" s="1" t="n"/>
      <c r="K15" s="1" t="n"/>
      <c r="L15" s="1" t="n"/>
    </row>
    <row r="16" ht="22" customHeight="1" s="51"/>
    <row r="17" ht="22" customHeight="1" s="51"/>
    <row r="18" ht="22" customHeight="1" s="51">
      <c r="B18" s="1" t="n"/>
      <c r="C18" s="1" t="n"/>
      <c r="D18" s="1" t="n"/>
      <c r="E18" s="1" t="n"/>
      <c r="J18" s="1" t="n"/>
      <c r="K18" s="1" t="n"/>
      <c r="L18" s="1" t="n"/>
      <c r="M18" s="1" t="n"/>
    </row>
    <row r="19" ht="22" customHeight="1" s="51">
      <c r="B19" s="1" t="n"/>
      <c r="E19" s="1" t="n"/>
      <c r="J19" s="1" t="n"/>
      <c r="M19" s="1" t="n"/>
    </row>
    <row r="20" ht="22" customHeight="1" s="51">
      <c r="B20" s="1" t="n"/>
      <c r="C20" s="1" t="n"/>
      <c r="D20" s="1" t="n"/>
      <c r="E20" s="1" t="n"/>
      <c r="J20" s="1" t="n"/>
      <c r="K20" s="1" t="n"/>
      <c r="L20" s="1" t="n"/>
      <c r="M20" s="1" t="n"/>
    </row>
    <row r="21" ht="22" customHeight="1" s="51"/>
    <row r="22" ht="22" customHeight="1" s="51"/>
    <row r="23" ht="22" customHeight="1" s="51">
      <c r="B23" s="1" t="n"/>
      <c r="C23" s="1" t="n"/>
      <c r="D23" s="1" t="n"/>
      <c r="E23" s="1" t="n"/>
      <c r="J23" s="1" t="n"/>
      <c r="K23" s="1" t="n"/>
      <c r="L23" s="1" t="n"/>
      <c r="M23" s="1" t="n"/>
    </row>
    <row r="24" ht="22" customHeight="1" s="51">
      <c r="B24" s="1" t="n"/>
      <c r="C24" s="1" t="n"/>
      <c r="D24" s="1" t="n"/>
      <c r="E24" s="1" t="n"/>
      <c r="J24" s="1" t="n"/>
      <c r="K24" s="1" t="n"/>
      <c r="L24" s="1" t="n"/>
      <c r="M24" s="1" t="n"/>
    </row>
    <row r="25" ht="22" customHeight="1" s="51"/>
    <row r="26" ht="22" customHeight="1" s="51">
      <c r="G26" s="1" t="n"/>
      <c r="H26" s="1" t="n"/>
    </row>
    <row r="27" ht="22" customHeight="1" s="51">
      <c r="G27" s="1" t="n"/>
      <c r="H27" s="1" t="n"/>
    </row>
    <row r="28" ht="22" customHeight="1" s="51">
      <c r="G28" s="1" t="n"/>
      <c r="H28" s="1" t="n"/>
    </row>
    <row r="29" ht="22" customHeight="1" s="51"/>
    <row r="30" ht="22" customHeight="1" s="51"/>
    <row r="31" ht="22" customHeight="1" s="5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2" customHeight="1" s="51"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2" customHeight="1" s="51"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22" customHeight="1" s="51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25">
    <mergeCell ref="A31:N31"/>
    <mergeCell ref="I3:N3"/>
    <mergeCell ref="B33:N33"/>
    <mergeCell ref="A3:F3"/>
    <mergeCell ref="K8:L9"/>
    <mergeCell ref="K14:L15"/>
    <mergeCell ref="A1:N1"/>
    <mergeCell ref="C8:D9"/>
    <mergeCell ref="J18:M20"/>
    <mergeCell ref="B23:E24"/>
    <mergeCell ref="B32:N32"/>
    <mergeCell ref="B5:C6"/>
    <mergeCell ref="D5:E6"/>
    <mergeCell ref="L11:M12"/>
    <mergeCell ref="J5:K6"/>
    <mergeCell ref="A2:N2"/>
    <mergeCell ref="C14:D15"/>
    <mergeCell ref="B18:E20"/>
    <mergeCell ref="B11:C12"/>
    <mergeCell ref="D11:E12"/>
    <mergeCell ref="G26:H28"/>
    <mergeCell ref="J11:K12"/>
    <mergeCell ref="L5:M6"/>
    <mergeCell ref="B34:N34"/>
    <mergeCell ref="J23:M24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6" customWidth="1" style="51" min="1" max="1"/>
    <col width="16" customWidth="1" style="51" min="2" max="2"/>
    <col width="16" customWidth="1" style="51" min="3" max="3"/>
    <col width="16" customWidth="1" style="51" min="4" max="4"/>
    <col width="16" customWidth="1" style="51" min="5" max="5"/>
    <col width="16" customWidth="1" style="51" min="6" max="6"/>
    <col width="16" customWidth="1" style="51" min="7" max="7"/>
    <col width="16" customWidth="1" style="51" min="8" max="8"/>
    <col width="16" customWidth="1" style="51" min="9" max="9"/>
    <col width="16" customWidth="1" style="51" min="10" max="10"/>
    <col width="16" customWidth="1" style="51" min="11" max="11"/>
    <col width="16" customWidth="1" style="51" min="12" max="12"/>
    <col width="16" customWidth="1" style="51" min="13" max="13"/>
    <col width="16" customWidth="1" style="51" min="14" max="14"/>
  </cols>
  <sheetData>
    <row r="1" ht="22" customHeight="1" s="51">
      <c r="A1" s="271" t="inlineStr">
        <is>
          <t>Message / Data Flow Diagram - Test Procedure Aligned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2" customHeight="1" s="51">
      <c r="A2" s="272" t="inlineStr">
        <is>
          <t>Updated to prioritize DOCX test procedures: baseline MANET, RSSI degradation detection, failover activation, sustained operation, and recovery.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22" customHeight="1" s="51"/>
    <row r="4" ht="22" customHeight="1" s="51"/>
    <row r="5" ht="22" customHeight="1" s="51"/>
    <row r="6" ht="22" customHeight="1" s="51"/>
    <row r="7" ht="22" customHeight="1" s="51"/>
    <row r="8" ht="22" customHeight="1" s="51"/>
    <row r="9" ht="22" customHeight="1" s="51"/>
    <row r="10" ht="22" customHeight="1" s="51"/>
    <row r="11" ht="22" customHeight="1" s="51"/>
    <row r="12" ht="22" customHeight="1" s="5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 ht="22" customHeight="1" s="51"/>
    <row r="14" ht="22" customHeight="1" s="51">
      <c r="A14" s="1" t="n"/>
      <c r="B14" s="1" t="n"/>
      <c r="D14" s="1" t="n"/>
      <c r="E14" s="1" t="n"/>
      <c r="G14" s="1" t="n"/>
      <c r="H14" s="1" t="n"/>
      <c r="J14" s="1" t="n"/>
      <c r="K14" s="1" t="n"/>
      <c r="M14" s="1" t="n"/>
      <c r="N14" s="1" t="n"/>
    </row>
    <row r="15" ht="22" customHeight="1" s="51">
      <c r="A15" s="1" t="n"/>
      <c r="B15" s="1" t="n"/>
      <c r="D15" s="1" t="n"/>
      <c r="E15" s="1" t="n"/>
      <c r="G15" s="1" t="n"/>
      <c r="H15" s="1" t="n"/>
      <c r="J15" s="1" t="n"/>
      <c r="K15" s="1" t="n"/>
      <c r="M15" s="1" t="n"/>
      <c r="N15" s="1" t="n"/>
    </row>
    <row r="16" ht="22" customHeight="1" s="51">
      <c r="A16" s="1" t="n"/>
      <c r="B16" s="1" t="n"/>
      <c r="D16" s="1" t="n"/>
      <c r="E16" s="1" t="n"/>
      <c r="G16" s="1" t="n"/>
      <c r="H16" s="1" t="n"/>
      <c r="J16" s="1" t="n"/>
      <c r="K16" s="1" t="n"/>
      <c r="M16" s="1" t="n"/>
      <c r="N16" s="1" t="n"/>
    </row>
    <row r="17" ht="22" customHeight="1" s="51"/>
    <row r="18" ht="22" customHeight="1" s="51"/>
    <row r="19" ht="22" customHeight="1" s="51"/>
    <row r="20" ht="22" customHeight="1" s="51">
      <c r="D20" s="1" t="n"/>
      <c r="E20" s="1" t="n"/>
      <c r="G20" s="1" t="n"/>
      <c r="H20" s="1" t="n"/>
      <c r="J20" s="1" t="n"/>
      <c r="K20" s="1" t="n"/>
    </row>
    <row r="21" ht="22" customHeight="1" s="51">
      <c r="D21" s="1" t="n"/>
      <c r="E21" s="1" t="n"/>
      <c r="G21" s="1" t="n"/>
      <c r="H21" s="1" t="n"/>
      <c r="J21" s="1" t="n"/>
      <c r="K21" s="1" t="n"/>
    </row>
    <row r="22" ht="22" customHeight="1" s="51">
      <c r="D22" s="1" t="n"/>
      <c r="E22" s="1" t="n"/>
      <c r="G22" s="1" t="n"/>
      <c r="H22" s="1" t="n"/>
      <c r="J22" s="1" t="n"/>
      <c r="K22" s="1" t="n"/>
    </row>
    <row r="23" ht="22" customHeight="1" s="51"/>
    <row r="24" ht="22" customHeight="1" s="51"/>
    <row r="25" ht="22" customHeight="1" s="51"/>
    <row r="26" ht="22" customHeight="1" s="5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22" customHeight="1" s="51"/>
    <row r="28" ht="22" customHeight="1" s="51"/>
    <row r="29" ht="22" customHeight="1" s="51"/>
    <row r="30" ht="22" customHeight="1" s="51"/>
    <row r="31" ht="22" customHeight="1" s="51"/>
    <row r="32" ht="22" customHeight="1" s="51"/>
    <row r="33" ht="22" customHeight="1" s="51"/>
    <row r="34" ht="22" customHeight="1" s="51"/>
    <row r="35" ht="22" customHeight="1" s="51"/>
    <row r="36" ht="22" customHeight="1" s="51"/>
    <row r="37" ht="22" customHeight="1" s="51"/>
    <row r="38" ht="22" customHeight="1" s="51"/>
    <row r="39" ht="22" customHeight="1" s="51"/>
    <row r="40" ht="22" customHeight="1" s="51"/>
    <row r="41" ht="22" customHeight="1" s="51"/>
    <row r="42" ht="22" customHeight="1" s="51"/>
    <row r="43" ht="22" customHeight="1" s="51"/>
    <row r="44" ht="22" customHeight="1" s="51"/>
    <row r="45" ht="22" customHeight="1" s="51"/>
  </sheetData>
  <mergeCells count="12">
    <mergeCell ref="D20:E22"/>
    <mergeCell ref="A12:N12"/>
    <mergeCell ref="G20:H22"/>
    <mergeCell ref="A14:B16"/>
    <mergeCell ref="G14:H16"/>
    <mergeCell ref="J20:K22"/>
    <mergeCell ref="A26:N26"/>
    <mergeCell ref="A2:N2"/>
    <mergeCell ref="J14:K16"/>
    <mergeCell ref="M14:N16"/>
    <mergeCell ref="D14:E16"/>
    <mergeCell ref="A1:N1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2" customWidth="1" style="51" min="1" max="1"/>
    <col width="20" customWidth="1" style="51" min="2" max="2"/>
    <col width="24" customWidth="1" style="51" min="3" max="3"/>
    <col width="36" customWidth="1" style="51" min="4" max="4"/>
    <col width="30" customWidth="1" style="51" min="5" max="5"/>
    <col width="34" customWidth="1" style="51" min="6" max="6"/>
    <col width="22" customWidth="1" style="51" min="7" max="7"/>
    <col width="28" customWidth="1" style="51" min="8" max="8"/>
    <col width="18" customWidth="1" style="51" min="9" max="9"/>
    <col width="35" customWidth="1" style="51" min="10" max="10"/>
    <col width="34" customWidth="1" style="51" min="11" max="11"/>
  </cols>
  <sheetData>
    <row r="1">
      <c r="A1" s="273" t="inlineStr">
        <is>
          <t>Codex + GitHub Workflow — VS Code Optional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07" t="n"/>
      <c r="B2" s="49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241" t="inlineStr">
        <is>
          <t>Stage</t>
        </is>
      </c>
      <c r="B3" s="241" t="inlineStr">
        <is>
          <t>Tool</t>
        </is>
      </c>
      <c r="C3" s="241" t="inlineStr">
        <is>
          <t>Where it runs</t>
        </is>
      </c>
      <c r="D3" s="241" t="inlineStr">
        <is>
          <t>Purpose</t>
        </is>
      </c>
      <c r="E3" s="241" t="inlineStr">
        <is>
          <t>Input required</t>
        </is>
      </c>
      <c r="F3" s="241" t="inlineStr">
        <is>
          <t>Output expected</t>
        </is>
      </c>
      <c r="G3" s="241" t="inlineStr">
        <is>
          <t>Who validates</t>
        </is>
      </c>
      <c r="H3" s="241" t="inlineStr">
        <is>
          <t>Workbook update required</t>
        </is>
      </c>
      <c r="I3" s="241" t="inlineStr">
        <is>
          <t>GitHub action</t>
        </is>
      </c>
      <c r="J3" s="241" t="inlineStr">
        <is>
          <t>Pass condition</t>
        </is>
      </c>
      <c r="K3" s="241" t="inlineStr">
        <is>
          <t>Notes</t>
        </is>
      </c>
    </row>
    <row r="4">
      <c r="A4" s="228" t="inlineStr">
        <is>
          <t>0. Baseline repo</t>
        </is>
      </c>
      <c r="B4" s="228" t="inlineStr">
        <is>
          <t>GitHub + Codex Web</t>
        </is>
      </c>
      <c r="C4" s="228" t="inlineStr">
        <is>
          <t>Browser</t>
        </is>
      </c>
      <c r="D4" s="228" t="inlineStr">
        <is>
          <t>Create empty project repository and documentation baseline</t>
        </is>
      </c>
      <c r="E4" s="228" t="inlineStr">
        <is>
          <t>Workbook, diagrams, DOCX test requirements</t>
        </is>
      </c>
      <c r="F4" s="228" t="inlineStr">
        <is>
          <t>Repo with folders, README, AGENTS.md, docs</t>
        </is>
      </c>
      <c r="G4" s="228" t="inlineStr">
        <is>
          <t>User + ChatGPT</t>
        </is>
      </c>
      <c r="H4" s="228" t="inlineStr">
        <is>
          <t>Yes: Repo baseline complete</t>
        </is>
      </c>
      <c r="I4" s="228" t="inlineStr">
        <is>
          <t>Initial commit</t>
        </is>
      </c>
      <c r="J4" s="228" t="inlineStr">
        <is>
          <t>Repo opens and files are visible</t>
        </is>
      </c>
      <c r="K4" s="228" t="inlineStr">
        <is>
          <t>No VS Code required</t>
        </is>
      </c>
    </row>
    <row r="5">
      <c r="A5" s="258" t="inlineStr">
        <is>
          <t>1. Codex instructions</t>
        </is>
      </c>
      <c r="B5" s="258" t="inlineStr">
        <is>
          <t>Codex Web</t>
        </is>
      </c>
      <c r="C5" s="258" t="inlineStr">
        <is>
          <t>Cloud</t>
        </is>
      </c>
      <c r="D5" s="258" t="inlineStr">
        <is>
          <t>Create/verify AGENTS.md so Codex follows workbook and test procedures</t>
        </is>
      </c>
      <c r="E5" s="258" t="inlineStr">
        <is>
          <t>Workbook step number and coding rules</t>
        </is>
      </c>
      <c r="F5" s="258" t="inlineStr">
        <is>
          <t>AGENTS.md with project rules</t>
        </is>
      </c>
      <c r="G5" s="258" t="inlineStr">
        <is>
          <t>User + ChatGPT</t>
        </is>
      </c>
      <c r="H5" s="258" t="inlineStr">
        <is>
          <t>Yes: AGENTS.md approved</t>
        </is>
      </c>
      <c r="I5" s="258" t="inlineStr">
        <is>
          <t>PR or direct commit</t>
        </is>
      </c>
      <c r="J5" s="258" t="inlineStr">
        <is>
          <t>Codex follows scope and does not rewrite unrelated files</t>
        </is>
      </c>
      <c r="K5" s="258" t="inlineStr">
        <is>
          <t>Every Codex task must cite workbook step</t>
        </is>
      </c>
    </row>
    <row r="6">
      <c r="A6" s="258" t="inlineStr">
        <is>
          <t>2. Local Codex CLI setup</t>
        </is>
      </c>
      <c r="B6" s="258" t="inlineStr">
        <is>
          <t>Codex CLI</t>
        </is>
      </c>
      <c r="C6" s="258" t="inlineStr">
        <is>
          <t>MacBook Pro M1 Max terminal</t>
        </is>
      </c>
      <c r="D6" s="258" t="inlineStr">
        <is>
          <t>Allow local repo review and controlled edits without VS Code</t>
        </is>
      </c>
      <c r="E6" s="258" t="inlineStr">
        <is>
          <t>GitHub repo cloned locally</t>
        </is>
      </c>
      <c r="F6" s="258" t="inlineStr">
        <is>
          <t>Codex CLI can read project and propose edits</t>
        </is>
      </c>
      <c r="G6" s="258" t="inlineStr">
        <is>
          <t>User</t>
        </is>
      </c>
      <c r="H6" s="258" t="inlineStr">
        <is>
          <t>Yes: CLI setup evidence</t>
        </is>
      </c>
      <c r="I6" s="258" t="inlineStr">
        <is>
          <t>Optional local branch commit</t>
        </is>
      </c>
      <c r="J6" s="258" t="inlineStr">
        <is>
          <t>codex command runs in repo folder</t>
        </is>
      </c>
      <c r="K6" s="258" t="inlineStr">
        <is>
          <t>Used for local checks/troubleshooting</t>
        </is>
      </c>
    </row>
    <row r="7">
      <c r="A7" s="258" t="inlineStr">
        <is>
          <t>3. ESP32 simulation</t>
        </is>
      </c>
      <c r="B7" s="258" t="inlineStr">
        <is>
          <t>Codex Web or CLI</t>
        </is>
      </c>
      <c r="C7" s="258" t="inlineStr">
        <is>
          <t>GitHub cloud/local Mac</t>
        </is>
      </c>
      <c r="D7" s="258" t="inlineStr">
        <is>
          <t>Create PlatformIO project with simulation mode first</t>
        </is>
      </c>
      <c r="E7" s="258" t="inlineStr">
        <is>
          <t>Step prompt + packet format</t>
        </is>
      </c>
      <c r="F7" s="258" t="inlineStr">
        <is>
          <t>Compilable ESP32 code with simulated LoRa/messages</t>
        </is>
      </c>
      <c r="G7" s="258" t="inlineStr">
        <is>
          <t>User + ChatGPT</t>
        </is>
      </c>
      <c r="H7" s="258" t="inlineStr">
        <is>
          <t>Yes: build result and notes</t>
        </is>
      </c>
      <c r="I7" s="258" t="inlineStr">
        <is>
          <t>PR</t>
        </is>
      </c>
      <c r="J7" s="258" t="inlineStr">
        <is>
          <t>PlatformIO build passes</t>
        </is>
      </c>
      <c r="K7" s="258" t="inlineStr">
        <is>
          <t>Hardware not required yet</t>
        </is>
      </c>
    </row>
    <row r="8">
      <c r="A8" s="258" t="inlineStr">
        <is>
          <t>4. ESP32 LoRa + Bluetooth</t>
        </is>
      </c>
      <c r="B8" s="258" t="inlineStr">
        <is>
          <t>Codex Web or CLI</t>
        </is>
      </c>
      <c r="C8" s="258" t="inlineStr">
        <is>
          <t>GitHub cloud/local Mac</t>
        </is>
      </c>
      <c r="D8" s="258" t="inlineStr">
        <is>
          <t>Add SX1278 LoRa and Android Bluetooth bridge</t>
        </is>
      </c>
      <c r="E8" s="258" t="inlineStr">
        <is>
          <t>Pin map, baud, Bluetooth pairing rules</t>
        </is>
      </c>
      <c r="F8" s="258" t="inlineStr">
        <is>
          <t>Firmware supports phone-to-LoRa bridge</t>
        </is>
      </c>
      <c r="G8" s="258" t="inlineStr">
        <is>
          <t>User hardware test</t>
        </is>
      </c>
      <c r="H8" s="258" t="inlineStr">
        <is>
          <t>Yes: test evidence/screenshots</t>
        </is>
      </c>
      <c r="I8" s="258" t="inlineStr">
        <is>
          <t>PR</t>
        </is>
      </c>
      <c r="J8" s="258" t="inlineStr">
        <is>
          <t>Message sent from Android/serial reaches LoRa packet layer</t>
        </is>
      </c>
      <c r="K8" s="258" t="inlineStr">
        <is>
          <t>Physical Bluetooth/LoRa tested by user</t>
        </is>
      </c>
    </row>
    <row r="9">
      <c r="A9" s="258" t="inlineStr">
        <is>
          <t>5. Raspberry Pi gateway simulation</t>
        </is>
      </c>
      <c r="B9" s="258" t="inlineStr">
        <is>
          <t>Codex Web or CLI</t>
        </is>
      </c>
      <c r="C9" s="258" t="inlineStr">
        <is>
          <t>Cloud/local Mac</t>
        </is>
      </c>
      <c r="D9" s="258" t="inlineStr">
        <is>
          <t>Build Python gateway logic without hardware first</t>
        </is>
      </c>
      <c r="E9" s="258" t="inlineStr">
        <is>
          <t>Packet protocol, failover rules</t>
        </is>
      </c>
      <c r="F9" s="258" t="inlineStr">
        <is>
          <t>Gateway simulator, web dashboard/logs</t>
        </is>
      </c>
      <c r="G9" s="258" t="inlineStr">
        <is>
          <t>User + ChatGPT</t>
        </is>
      </c>
      <c r="H9" s="258" t="inlineStr">
        <is>
          <t>Yes: simulation test result</t>
        </is>
      </c>
      <c r="I9" s="258" t="inlineStr">
        <is>
          <t>PR</t>
        </is>
      </c>
      <c r="J9" s="258" t="inlineStr">
        <is>
          <t>Simulated 6-node traffic passes baseline/degradation/failover</t>
        </is>
      </c>
      <c r="K9" s="258" t="inlineStr">
        <is>
          <t>Python tests can run in Codex</t>
        </is>
      </c>
    </row>
    <row r="10">
      <c r="A10" s="258" t="inlineStr">
        <is>
          <t>6. Raspberry Pi LoRa SPI</t>
        </is>
      </c>
      <c r="B10" s="258" t="inlineStr">
        <is>
          <t>Codex Web or CLI</t>
        </is>
      </c>
      <c r="C10" s="258" t="inlineStr">
        <is>
          <t>Repo + Raspberry Pi hardware</t>
        </is>
      </c>
      <c r="D10" s="258" t="inlineStr">
        <is>
          <t>Add real SX1278 SPI support to gateway</t>
        </is>
      </c>
      <c r="E10" s="258" t="inlineStr">
        <is>
          <t>Wiring/pin map</t>
        </is>
      </c>
      <c r="F10" s="258" t="inlineStr">
        <is>
          <t>Gateway receives LoRa packets from nodes</t>
        </is>
      </c>
      <c r="G10" s="258" t="inlineStr">
        <is>
          <t>User hardware test</t>
        </is>
      </c>
      <c r="H10" s="258" t="inlineStr">
        <is>
          <t>Yes: hardware evidence</t>
        </is>
      </c>
      <c r="I10" s="258" t="inlineStr">
        <is>
          <t>PR</t>
        </is>
      </c>
      <c r="J10" s="258" t="inlineStr">
        <is>
          <t>Pi receives/sends LoRa packet reliably</t>
        </is>
      </c>
      <c r="K10" s="258" t="inlineStr">
        <is>
          <t>Physical test cannot be completed by Codex alone</t>
        </is>
      </c>
    </row>
    <row r="11">
      <c r="A11" s="258" t="inlineStr">
        <is>
          <t>7. Router-to-router simulated satellite</t>
        </is>
      </c>
      <c r="B11" s="258" t="inlineStr">
        <is>
          <t>Codex Web or CLI</t>
        </is>
      </c>
      <c r="C11" s="258" t="inlineStr">
        <is>
          <t>Raspberry Pi + routers</t>
        </is>
      </c>
      <c r="D11" s="258" t="inlineStr">
        <is>
          <t>Implement gateway-to-gateway WiFi path and latency simulation</t>
        </is>
      </c>
      <c r="E11" s="258" t="inlineStr">
        <is>
          <t>Router IPs, network settings</t>
        </is>
      </c>
      <c r="F11" s="258" t="inlineStr">
        <is>
          <t>Inter-gateway message forwarding</t>
        </is>
      </c>
      <c r="G11" s="258" t="inlineStr">
        <is>
          <t>User hardware test</t>
        </is>
      </c>
      <c r="H11" s="258" t="inlineStr">
        <is>
          <t>Yes: latency/log evidence</t>
        </is>
      </c>
      <c r="I11" s="258" t="inlineStr">
        <is>
          <t>PR</t>
        </is>
      </c>
      <c r="J11" s="258" t="inlineStr">
        <is>
          <t>Network A can route message to Network B</t>
        </is>
      </c>
      <c r="K11" s="258" t="inlineStr">
        <is>
          <t>Use WiFi routers to simulate satellite path</t>
        </is>
      </c>
    </row>
    <row r="12">
      <c r="A12" s="258" t="inlineStr">
        <is>
          <t>8. Android app</t>
        </is>
      </c>
      <c r="B12" s="258" t="inlineStr">
        <is>
          <t>Codex Web or CLI</t>
        </is>
      </c>
      <c r="C12" s="258" t="inlineStr">
        <is>
          <t>GitHub cloud/local Mac</t>
        </is>
      </c>
      <c r="D12" s="258" t="inlineStr">
        <is>
          <t>Create Android messaging app</t>
        </is>
      </c>
      <c r="E12" s="258" t="inlineStr">
        <is>
          <t>UI requirements, network modes</t>
        </is>
      </c>
      <c r="F12" s="258" t="inlineStr">
        <is>
          <t>Android Studio project</t>
        </is>
      </c>
      <c r="G12" s="258" t="inlineStr">
        <is>
          <t>User + phone test</t>
        </is>
      </c>
      <c r="H12" s="258" t="inlineStr">
        <is>
          <t>Yes: APK/build/test evidence</t>
        </is>
      </c>
      <c r="I12" s="258" t="inlineStr">
        <is>
          <t>PR</t>
        </is>
      </c>
      <c r="J12" s="258" t="inlineStr">
        <is>
          <t>App builds and can select Auto/WiFi/GSM/LoRa</t>
        </is>
      </c>
      <c r="K12" s="258" t="inlineStr">
        <is>
          <t>Android Studio still used for build/run if needed</t>
        </is>
      </c>
    </row>
    <row r="13">
      <c r="A13" s="258" t="inlineStr">
        <is>
          <t>9. Integrated validation</t>
        </is>
      </c>
      <c r="B13" s="258" t="inlineStr">
        <is>
          <t>Codex + User hardware</t>
        </is>
      </c>
      <c r="C13" s="258" t="inlineStr">
        <is>
          <t>Physical setup</t>
        </is>
      </c>
      <c r="D13" s="258" t="inlineStr">
        <is>
          <t>Run DOCX test campaign</t>
        </is>
      </c>
      <c r="E13" s="258" t="inlineStr">
        <is>
          <t>6 nodes, 2 gateways, 2 routers, phones</t>
        </is>
      </c>
      <c r="F13" s="258" t="inlineStr">
        <is>
          <t>Completed test log and workbook evidence</t>
        </is>
      </c>
      <c r="G13" s="258" t="inlineStr">
        <is>
          <t>User + ChatGPT</t>
        </is>
      </c>
      <c r="H13" s="258" t="inlineStr">
        <is>
          <t>Yes: all test sheets updated</t>
        </is>
      </c>
      <c r="I13" s="258" t="inlineStr">
        <is>
          <t>Final PR/Release tag</t>
        </is>
      </c>
      <c r="J13" s="258" t="inlineStr">
        <is>
          <t>All acceptance criteria passed</t>
        </is>
      </c>
      <c r="K13" s="258" t="inlineStr">
        <is>
          <t>Workbook is final continuation reference</t>
        </is>
      </c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07" t="n"/>
      <c r="B16" s="274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97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197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197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197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197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197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197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  <c r="J61" s="258" t="n"/>
      <c r="K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  <c r="J62" s="258" t="n"/>
      <c r="K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  <c r="J63" s="258" t="n"/>
      <c r="K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  <c r="J64" s="258" t="n"/>
      <c r="K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  <c r="J65" s="258" t="n"/>
      <c r="K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  <c r="J66" s="258" t="n"/>
      <c r="K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  <c r="J67" s="258" t="n"/>
      <c r="K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  <c r="J68" s="258" t="n"/>
      <c r="K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  <c r="J69" s="258" t="n"/>
      <c r="K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  <c r="J70" s="258" t="n"/>
      <c r="K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  <c r="J71" s="258" t="n"/>
      <c r="K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  <c r="J72" s="258" t="n"/>
      <c r="K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  <c r="J73" s="258" t="n"/>
      <c r="K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  <c r="J74" s="258" t="n"/>
      <c r="K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  <c r="J75" s="258" t="n"/>
      <c r="K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  <c r="J76" s="258" t="n"/>
      <c r="K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  <c r="J77" s="258" t="n"/>
      <c r="K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  <c r="J78" s="258" t="n"/>
      <c r="K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  <c r="J79" s="258" t="n"/>
      <c r="K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  <c r="J80" s="258" t="n"/>
      <c r="K80" s="258" t="n"/>
    </row>
  </sheetData>
  <mergeCells count="3">
    <mergeCell ref="B2:K2"/>
    <mergeCell ref="A1:K1"/>
    <mergeCell ref="B16:K16"/>
  </mergeCells>
  <dataValidations count="1">
    <dataValidation sqref="K5:K14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16" customWidth="1" style="51" min="2" max="2"/>
    <col width="18" customWidth="1" style="51" min="3" max="3"/>
    <col width="28" customWidth="1" style="51" min="4" max="4"/>
    <col width="70" customWidth="1" style="51" min="5" max="5"/>
    <col width="32" customWidth="1" style="51" min="6" max="6"/>
    <col width="28" customWidth="1" style="51" min="7" max="7"/>
    <col width="36" customWidth="1" style="51" min="8" max="8"/>
    <col width="28" customWidth="1" style="51" min="9" max="9"/>
  </cols>
  <sheetData>
    <row r="1">
      <c r="A1" s="273" t="inlineStr">
        <is>
          <t>Codex Task Prompts — One Task Per Workbook Step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Task ID</t>
        </is>
      </c>
      <c r="B3" s="241" t="inlineStr">
        <is>
          <t>Workbook Step</t>
        </is>
      </c>
      <c r="C3" s="241" t="inlineStr">
        <is>
          <t>Use With</t>
        </is>
      </c>
      <c r="D3" s="241" t="inlineStr">
        <is>
          <t>Prompt Title</t>
        </is>
      </c>
      <c r="E3" s="241" t="inlineStr">
        <is>
          <t>Prompt</t>
        </is>
      </c>
      <c r="F3" s="241" t="inlineStr">
        <is>
          <t>Expected Output</t>
        </is>
      </c>
      <c r="G3" s="241" t="inlineStr">
        <is>
          <t>Allowed Files</t>
        </is>
      </c>
      <c r="H3" s="241" t="inlineStr">
        <is>
          <t>Validation</t>
        </is>
      </c>
      <c r="I3" s="241" t="inlineStr">
        <is>
          <t>Workbook Update</t>
        </is>
      </c>
      <c r="J3" s="258" t="n"/>
      <c r="K3" s="258" t="n"/>
    </row>
    <row r="4">
      <c r="A4" s="258" t="inlineStr">
        <is>
          <t>C0</t>
        </is>
      </c>
      <c r="B4" s="258" t="inlineStr">
        <is>
          <t>0.1</t>
        </is>
      </c>
      <c r="C4" s="258" t="inlineStr">
        <is>
          <t>Codex Web</t>
        </is>
      </c>
      <c r="D4" s="258" t="inlineStr">
        <is>
          <t>Create baseline repo</t>
        </is>
      </c>
      <c r="E4" s="258" t="inlineStr">
        <is>
          <t>Create the repository structure for pup-manet-emergency-messaging. Add README.md, AGENTS.md, docs/workbook, docs/diagrams, docs/test-procedures, esp32-node-platformio, rpi-gateway, and android-chat-app folders. Do not implement application code yet.</t>
        </is>
      </c>
      <c r="F4" s="258" t="inlineStr">
        <is>
          <t>Baseline repo structure</t>
        </is>
      </c>
      <c r="G4" s="258" t="inlineStr">
        <is>
          <t>All top-level docs/folders</t>
        </is>
      </c>
      <c r="H4" s="258" t="inlineStr">
        <is>
          <t>Repo opens and README explains workflow</t>
        </is>
      </c>
      <c r="I4" s="258" t="inlineStr">
        <is>
          <t>Mark repo baseline complete</t>
        </is>
      </c>
      <c r="J4" s="258" t="n"/>
      <c r="K4" s="258" t="n"/>
    </row>
    <row r="5">
      <c r="A5" s="258" t="inlineStr">
        <is>
          <t>C1</t>
        </is>
      </c>
      <c r="B5" s="258" t="inlineStr">
        <is>
          <t>1.1</t>
        </is>
      </c>
      <c r="C5" s="258" t="inlineStr">
        <is>
          <t>Codex Web</t>
        </is>
      </c>
      <c r="D5" s="258" t="inlineStr">
        <is>
          <t>Write AGENTS.md</t>
        </is>
      </c>
      <c r="E5" s="258" t="inlineStr">
        <is>
          <t>Create AGENTS.md for this project. Codex must follow the workbook step number, keep ESP32/RPi/Android separate, preserve test procedure alignment, avoid unrelated rewrites, and report validation commands/results.</t>
        </is>
      </c>
      <c r="F5" s="258" t="inlineStr">
        <is>
          <t>AGENTS.md</t>
        </is>
      </c>
      <c r="G5" s="258" t="inlineStr">
        <is>
          <t>AGENTS.md only unless README reference needed</t>
        </is>
      </c>
      <c r="H5" s="258" t="inlineStr">
        <is>
          <t>AGENTS.md includes scope and validation rules</t>
        </is>
      </c>
      <c r="I5" s="258" t="inlineStr">
        <is>
          <t>Mark Codex instruction baseline complete</t>
        </is>
      </c>
      <c r="J5" s="258" t="n"/>
      <c r="K5" s="258" t="n"/>
    </row>
    <row r="6">
      <c r="A6" s="258" t="inlineStr">
        <is>
          <t>C2</t>
        </is>
      </c>
      <c r="B6" s="258" t="inlineStr">
        <is>
          <t>2.1</t>
        </is>
      </c>
      <c r="C6" s="258" t="inlineStr">
        <is>
          <t>Codex CLI</t>
        </is>
      </c>
      <c r="D6" s="258" t="inlineStr">
        <is>
          <t>Inspect repo locally</t>
        </is>
      </c>
      <c r="E6" s="258" t="inlineStr">
        <is>
          <t>Inspect this repository against AGENTS.md and the workbook. Do not modify files. Report missing folders, unclear setup, and recommended next task.</t>
        </is>
      </c>
      <c r="F6" s="258" t="inlineStr">
        <is>
          <t>Review report only</t>
        </is>
      </c>
      <c r="G6" s="258" t="inlineStr">
        <is>
          <t>No file changes</t>
        </is>
      </c>
      <c r="H6" s="258" t="inlineStr">
        <is>
          <t>git status clean after task</t>
        </is>
      </c>
      <c r="I6" s="258" t="inlineStr">
        <is>
          <t>Record local CLI inspection</t>
        </is>
      </c>
      <c r="J6" s="258" t="n"/>
      <c r="K6" s="258" t="n"/>
    </row>
    <row r="7">
      <c r="A7" s="258" t="inlineStr">
        <is>
          <t>C3</t>
        </is>
      </c>
      <c r="B7" s="258" t="inlineStr">
        <is>
          <t>3.1</t>
        </is>
      </c>
      <c r="C7" s="258" t="inlineStr">
        <is>
          <t>Codex Web/CLI</t>
        </is>
      </c>
      <c r="D7" s="258" t="inlineStr">
        <is>
          <t>ESP32 simulation project</t>
        </is>
      </c>
      <c r="E7" s="258" t="inlineStr">
        <is>
          <t>Create the ESP32 PlatformIO project in esp32-node-platformio with simulation mode only. Implement message ID, source, destination, hop count, ACK/retry simulation, and serial logs. Do not add real LoRa hardware code yet.</t>
        </is>
      </c>
      <c r="F7" s="258" t="inlineStr">
        <is>
          <t>Compilable PlatformIO project</t>
        </is>
      </c>
      <c r="G7" s="258" t="inlineStr">
        <is>
          <t>esp32-node-platformio, README section</t>
        </is>
      </c>
      <c r="H7" s="258" t="inlineStr">
        <is>
          <t>PlatformIO build passes</t>
        </is>
      </c>
      <c r="I7" s="258" t="inlineStr">
        <is>
          <t>Record build output</t>
        </is>
      </c>
      <c r="J7" s="258" t="n"/>
      <c r="K7" s="258" t="n"/>
    </row>
    <row r="8">
      <c r="A8" s="258" t="inlineStr">
        <is>
          <t>C4</t>
        </is>
      </c>
      <c r="B8" s="258" t="inlineStr">
        <is>
          <t>4.1</t>
        </is>
      </c>
      <c r="C8" s="258" t="inlineStr">
        <is>
          <t>Codex Web/CLI</t>
        </is>
      </c>
      <c r="D8" s="258" t="inlineStr">
        <is>
          <t>ESP32 LoRa packet layer</t>
        </is>
      </c>
      <c r="E8" s="258" t="inlineStr">
        <is>
          <t>Add SX1278 Ra-02 packet abstraction while preserving simulation mode. Use a hardware interface layer so simulation and physical LoRa can be selected by config. Include RSSI/SNR fields in received packet metadata.</t>
        </is>
      </c>
      <c r="F8" s="258" t="inlineStr">
        <is>
          <t>LoRa abstraction + config</t>
        </is>
      </c>
      <c r="G8" s="258" t="inlineStr">
        <is>
          <t>esp32-node-platformio</t>
        </is>
      </c>
      <c r="H8" s="258" t="inlineStr">
        <is>
          <t>Build passes; simulation still works</t>
        </is>
      </c>
      <c r="I8" s="258" t="inlineStr">
        <is>
          <t>Record build/test result</t>
        </is>
      </c>
      <c r="J8" s="258" t="n"/>
      <c r="K8" s="258" t="n"/>
    </row>
    <row r="9">
      <c r="A9" s="258" t="inlineStr">
        <is>
          <t>C5</t>
        </is>
      </c>
      <c r="B9" s="258" t="inlineStr">
        <is>
          <t>4.2</t>
        </is>
      </c>
      <c r="C9" s="258" t="inlineStr">
        <is>
          <t>Codex Web/CLI</t>
        </is>
      </c>
      <c r="D9" s="258" t="inlineStr">
        <is>
          <t>Bluetooth bridge</t>
        </is>
      </c>
      <c r="E9" s="258" t="inlineStr">
        <is>
          <t>Add Bluetooth serial bridge for Android-to-ESP32 messaging. Preserve existing LoRa/simulation code. Include manual mode support placeholder: AUTO, LORA, WIFI, GSM.</t>
        </is>
      </c>
      <c r="F9" s="258" t="inlineStr">
        <is>
          <t>Bluetooth bridge code</t>
        </is>
      </c>
      <c r="G9" s="258" t="inlineStr">
        <is>
          <t>esp32-node-platformio</t>
        </is>
      </c>
      <c r="H9" s="258" t="inlineStr">
        <is>
          <t>Build passes; serial/Bluetooth message parser test documented</t>
        </is>
      </c>
      <c r="I9" s="258" t="inlineStr">
        <is>
          <t>Record Bluetooth test</t>
        </is>
      </c>
      <c r="J9" s="258" t="n"/>
      <c r="K9" s="258" t="n"/>
    </row>
    <row r="10">
      <c r="A10" s="258" t="inlineStr">
        <is>
          <t>C6</t>
        </is>
      </c>
      <c r="B10" s="258" t="inlineStr">
        <is>
          <t>5.1</t>
        </is>
      </c>
      <c r="C10" s="258" t="inlineStr">
        <is>
          <t>Codex Web/CLI</t>
        </is>
      </c>
      <c r="D10" s="258" t="inlineStr">
        <is>
          <t>RPi gateway simulator</t>
        </is>
      </c>
      <c r="E10" s="258" t="inlineStr">
        <is>
          <t>Create rpi-gateway Python project with simulator for 6 MANET nodes, 2 gateways, and 2 WiFi-router satellite path. Implement routing, message buffer, ACK/retry, failover trigger after 10 seconds, and recovery after 10 seconds.</t>
        </is>
      </c>
      <c r="F10" s="258" t="inlineStr">
        <is>
          <t>Python gateway simulator</t>
        </is>
      </c>
      <c r="G10" s="258" t="inlineStr">
        <is>
          <t>rpi-gateway</t>
        </is>
      </c>
      <c r="H10" s="258" t="inlineStr">
        <is>
          <t>Unit tests/simulation logs pass</t>
        </is>
      </c>
      <c r="I10" s="258" t="inlineStr">
        <is>
          <t>Record simulation result</t>
        </is>
      </c>
      <c r="J10" s="258" t="n"/>
      <c r="K10" s="258" t="n"/>
    </row>
    <row r="11">
      <c r="A11" s="258" t="inlineStr">
        <is>
          <t>C7</t>
        </is>
      </c>
      <c r="B11" s="258" t="inlineStr">
        <is>
          <t>8.1</t>
        </is>
      </c>
      <c r="C11" s="258" t="inlineStr">
        <is>
          <t>Codex Web/CLI</t>
        </is>
      </c>
      <c r="D11" s="258" t="inlineStr">
        <is>
          <t>Android app skeleton</t>
        </is>
      </c>
      <c r="E11" s="258" t="inlineStr">
        <is>
          <t>Create Android app skeleton for messaging. Include screens for chat, node pairing status, and network mode selection: AUTO, WIFI, GSM, LORA. Do not require real Bluetooth/GSM implementation in first task.</t>
        </is>
      </c>
      <c r="F11" s="258" t="inlineStr">
        <is>
          <t>Android project skeleton</t>
        </is>
      </c>
      <c r="G11" s="258" t="inlineStr">
        <is>
          <t>android-chat-app</t>
        </is>
      </c>
      <c r="H11" s="258" t="inlineStr">
        <is>
          <t>Gradle build passes if environment configured</t>
        </is>
      </c>
      <c r="I11" s="258" t="inlineStr">
        <is>
          <t>Record build result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  <row r="61">
      <c r="A61" s="258" t="n"/>
      <c r="B61" s="258" t="n"/>
      <c r="C61" s="258" t="n"/>
      <c r="D61" s="258" t="n"/>
      <c r="E61" s="258" t="n"/>
      <c r="F61" s="258" t="n"/>
      <c r="G61" s="258" t="n"/>
      <c r="H61" s="258" t="n"/>
      <c r="I61" s="258" t="n"/>
    </row>
    <row r="62">
      <c r="A62" s="258" t="n"/>
      <c r="B62" s="258" t="n"/>
      <c r="C62" s="258" t="n"/>
      <c r="D62" s="258" t="n"/>
      <c r="E62" s="258" t="n"/>
      <c r="F62" s="258" t="n"/>
      <c r="G62" s="258" t="n"/>
      <c r="H62" s="258" t="n"/>
      <c r="I62" s="258" t="n"/>
    </row>
    <row r="63">
      <c r="A63" s="258" t="n"/>
      <c r="B63" s="258" t="n"/>
      <c r="C63" s="258" t="n"/>
      <c r="D63" s="258" t="n"/>
      <c r="E63" s="258" t="n"/>
      <c r="F63" s="258" t="n"/>
      <c r="G63" s="258" t="n"/>
      <c r="H63" s="258" t="n"/>
      <c r="I63" s="258" t="n"/>
    </row>
    <row r="64">
      <c r="A64" s="258" t="n"/>
      <c r="B64" s="258" t="n"/>
      <c r="C64" s="258" t="n"/>
      <c r="D64" s="258" t="n"/>
      <c r="E64" s="258" t="n"/>
      <c r="F64" s="258" t="n"/>
      <c r="G64" s="258" t="n"/>
      <c r="H64" s="258" t="n"/>
      <c r="I64" s="258" t="n"/>
    </row>
    <row r="65">
      <c r="A65" s="258" t="n"/>
      <c r="B65" s="258" t="n"/>
      <c r="C65" s="258" t="n"/>
      <c r="D65" s="258" t="n"/>
      <c r="E65" s="258" t="n"/>
      <c r="F65" s="258" t="n"/>
      <c r="G65" s="258" t="n"/>
      <c r="H65" s="258" t="n"/>
      <c r="I65" s="258" t="n"/>
    </row>
    <row r="66">
      <c r="A66" s="258" t="n"/>
      <c r="B66" s="258" t="n"/>
      <c r="C66" s="258" t="n"/>
      <c r="D66" s="258" t="n"/>
      <c r="E66" s="258" t="n"/>
      <c r="F66" s="258" t="n"/>
      <c r="G66" s="258" t="n"/>
      <c r="H66" s="258" t="n"/>
      <c r="I66" s="258" t="n"/>
    </row>
    <row r="67">
      <c r="A67" s="258" t="n"/>
      <c r="B67" s="258" t="n"/>
      <c r="C67" s="258" t="n"/>
      <c r="D67" s="258" t="n"/>
      <c r="E67" s="258" t="n"/>
      <c r="F67" s="258" t="n"/>
      <c r="G67" s="258" t="n"/>
      <c r="H67" s="258" t="n"/>
      <c r="I67" s="258" t="n"/>
    </row>
    <row r="68">
      <c r="A68" s="258" t="n"/>
      <c r="B68" s="258" t="n"/>
      <c r="C68" s="258" t="n"/>
      <c r="D68" s="258" t="n"/>
      <c r="E68" s="258" t="n"/>
      <c r="F68" s="258" t="n"/>
      <c r="G68" s="258" t="n"/>
      <c r="H68" s="258" t="n"/>
      <c r="I68" s="258" t="n"/>
    </row>
    <row r="69">
      <c r="A69" s="258" t="n"/>
      <c r="B69" s="258" t="n"/>
      <c r="C69" s="258" t="n"/>
      <c r="D69" s="258" t="n"/>
      <c r="E69" s="258" t="n"/>
      <c r="F69" s="258" t="n"/>
      <c r="G69" s="258" t="n"/>
      <c r="H69" s="258" t="n"/>
      <c r="I69" s="258" t="n"/>
    </row>
    <row r="70">
      <c r="A70" s="258" t="n"/>
      <c r="B70" s="258" t="n"/>
      <c r="C70" s="258" t="n"/>
      <c r="D70" s="258" t="n"/>
      <c r="E70" s="258" t="n"/>
      <c r="F70" s="258" t="n"/>
      <c r="G70" s="258" t="n"/>
      <c r="H70" s="258" t="n"/>
      <c r="I70" s="258" t="n"/>
    </row>
    <row r="71">
      <c r="A71" s="258" t="n"/>
      <c r="B71" s="258" t="n"/>
      <c r="C71" s="258" t="n"/>
      <c r="D71" s="258" t="n"/>
      <c r="E71" s="258" t="n"/>
      <c r="F71" s="258" t="n"/>
      <c r="G71" s="258" t="n"/>
      <c r="H71" s="258" t="n"/>
      <c r="I71" s="258" t="n"/>
    </row>
    <row r="72">
      <c r="A72" s="258" t="n"/>
      <c r="B72" s="258" t="n"/>
      <c r="C72" s="258" t="n"/>
      <c r="D72" s="258" t="n"/>
      <c r="E72" s="258" t="n"/>
      <c r="F72" s="258" t="n"/>
      <c r="G72" s="258" t="n"/>
      <c r="H72" s="258" t="n"/>
      <c r="I72" s="258" t="n"/>
    </row>
    <row r="73">
      <c r="A73" s="258" t="n"/>
      <c r="B73" s="258" t="n"/>
      <c r="C73" s="258" t="n"/>
      <c r="D73" s="258" t="n"/>
      <c r="E73" s="258" t="n"/>
      <c r="F73" s="258" t="n"/>
      <c r="G73" s="258" t="n"/>
      <c r="H73" s="258" t="n"/>
      <c r="I73" s="258" t="n"/>
    </row>
    <row r="74">
      <c r="A74" s="258" t="n"/>
      <c r="B74" s="258" t="n"/>
      <c r="C74" s="258" t="n"/>
      <c r="D74" s="258" t="n"/>
      <c r="E74" s="258" t="n"/>
      <c r="F74" s="258" t="n"/>
      <c r="G74" s="258" t="n"/>
      <c r="H74" s="258" t="n"/>
      <c r="I74" s="258" t="n"/>
    </row>
    <row r="75">
      <c r="A75" s="258" t="n"/>
      <c r="B75" s="258" t="n"/>
      <c r="C75" s="258" t="n"/>
      <c r="D75" s="258" t="n"/>
      <c r="E75" s="258" t="n"/>
      <c r="F75" s="258" t="n"/>
      <c r="G75" s="258" t="n"/>
      <c r="H75" s="258" t="n"/>
      <c r="I75" s="258" t="n"/>
    </row>
    <row r="76">
      <c r="A76" s="258" t="n"/>
      <c r="B76" s="258" t="n"/>
      <c r="C76" s="258" t="n"/>
      <c r="D76" s="258" t="n"/>
      <c r="E76" s="258" t="n"/>
      <c r="F76" s="258" t="n"/>
      <c r="G76" s="258" t="n"/>
      <c r="H76" s="258" t="n"/>
      <c r="I76" s="258" t="n"/>
    </row>
    <row r="77">
      <c r="A77" s="258" t="n"/>
      <c r="B77" s="258" t="n"/>
      <c r="C77" s="258" t="n"/>
      <c r="D77" s="258" t="n"/>
      <c r="E77" s="258" t="n"/>
      <c r="F77" s="258" t="n"/>
      <c r="G77" s="258" t="n"/>
      <c r="H77" s="258" t="n"/>
      <c r="I77" s="258" t="n"/>
    </row>
    <row r="78">
      <c r="A78" s="258" t="n"/>
      <c r="B78" s="258" t="n"/>
      <c r="C78" s="258" t="n"/>
      <c r="D78" s="258" t="n"/>
      <c r="E78" s="258" t="n"/>
      <c r="F78" s="258" t="n"/>
      <c r="G78" s="258" t="n"/>
      <c r="H78" s="258" t="n"/>
      <c r="I78" s="258" t="n"/>
    </row>
    <row r="79">
      <c r="A79" s="258" t="n"/>
      <c r="B79" s="258" t="n"/>
      <c r="C79" s="258" t="n"/>
      <c r="D79" s="258" t="n"/>
      <c r="E79" s="258" t="n"/>
      <c r="F79" s="258" t="n"/>
      <c r="G79" s="258" t="n"/>
      <c r="H79" s="258" t="n"/>
      <c r="I79" s="258" t="n"/>
    </row>
    <row r="80">
      <c r="A80" s="258" t="n"/>
      <c r="B80" s="258" t="n"/>
      <c r="C80" s="258" t="n"/>
      <c r="D80" s="258" t="n"/>
      <c r="E80" s="258" t="n"/>
      <c r="F80" s="258" t="n"/>
      <c r="G80" s="258" t="n"/>
      <c r="H80" s="258" t="n"/>
      <c r="I80" s="258" t="n"/>
    </row>
  </sheetData>
  <mergeCells count="1">
    <mergeCell ref="A1:I1"/>
  </mergeCells>
  <dataValidations count="1">
    <dataValidation sqref="I4:I10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30" customWidth="1" style="51" min="1" max="1"/>
    <col width="34" customWidth="1" style="51" min="2" max="2"/>
    <col width="14" customWidth="1" style="51" min="3" max="3"/>
    <col width="22" customWidth="1" style="51" min="4" max="4"/>
    <col width="18" customWidth="1" style="51" min="5" max="5"/>
    <col width="24" customWidth="1" style="51" min="6" max="6"/>
    <col width="42" customWidth="1" style="51" min="7" max="7"/>
    <col width="14" customWidth="1" style="51" min="8" max="8"/>
    <col width="16" customWidth="1" style="51" min="9" max="9"/>
  </cols>
  <sheetData>
    <row r="1">
      <c r="A1" s="273" t="inlineStr">
        <is>
          <t>Repository Structure — Codex/GitHub Source of Truth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258" t="n"/>
      <c r="K1" s="258" t="n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  <c r="I2" s="258" t="n"/>
      <c r="J2" s="258" t="n"/>
      <c r="K2" s="258" t="n"/>
    </row>
    <row r="3">
      <c r="A3" s="241" t="inlineStr">
        <is>
          <t>Path</t>
        </is>
      </c>
      <c r="B3" s="241" t="inlineStr">
        <is>
          <t>Purpose</t>
        </is>
      </c>
      <c r="C3" s="241" t="inlineStr">
        <is>
          <t>Owned by</t>
        </is>
      </c>
      <c r="D3" s="241" t="inlineStr">
        <is>
          <t>Generated/Edited by Codex</t>
        </is>
      </c>
      <c r="E3" s="241" t="inlineStr">
        <is>
          <t>Hardware dependent</t>
        </is>
      </c>
      <c r="F3" s="241" t="inlineStr">
        <is>
          <t>Build/Test command</t>
        </is>
      </c>
      <c r="G3" s="241" t="inlineStr">
        <is>
          <t>Notes</t>
        </is>
      </c>
      <c r="H3" s="241" t="inlineStr">
        <is>
          <t>Status</t>
        </is>
      </c>
      <c r="I3" s="241" t="inlineStr">
        <is>
          <t>Last Updated</t>
        </is>
      </c>
      <c r="J3" s="258" t="n"/>
      <c r="K3" s="258" t="n"/>
    </row>
    <row r="4">
      <c r="A4" s="258" t="inlineStr">
        <is>
          <t>/README.md</t>
        </is>
      </c>
      <c r="B4" s="258" t="inlineStr">
        <is>
          <t>Project overview and workflow</t>
        </is>
      </c>
      <c r="C4" s="258" t="inlineStr">
        <is>
          <t>Project</t>
        </is>
      </c>
      <c r="D4" s="258" t="inlineStr">
        <is>
          <t>Yes</t>
        </is>
      </c>
      <c r="E4" s="258" t="inlineStr">
        <is>
          <t>No</t>
        </is>
      </c>
      <c r="F4" s="258" t="inlineStr">
        <is>
          <t>N/A</t>
        </is>
      </c>
      <c r="G4" s="258" t="inlineStr">
        <is>
          <t>Explains Codex-only workflow</t>
        </is>
      </c>
      <c r="H4" s="258" t="inlineStr">
        <is>
          <t>Planned</t>
        </is>
      </c>
      <c r="I4" s="258" t="inlineStr">
        <is>
          <t>2026-05-05</t>
        </is>
      </c>
      <c r="J4" s="258" t="n"/>
      <c r="K4" s="258" t="n"/>
    </row>
    <row r="5">
      <c r="A5" s="258" t="inlineStr">
        <is>
          <t>/AGENTS.md</t>
        </is>
      </c>
      <c r="B5" s="258" t="inlineStr">
        <is>
          <t>Codex operating rules</t>
        </is>
      </c>
      <c r="C5" s="258" t="inlineStr">
        <is>
          <t>Project</t>
        </is>
      </c>
      <c r="D5" s="258" t="inlineStr">
        <is>
          <t>Yes</t>
        </is>
      </c>
      <c r="E5" s="258" t="inlineStr">
        <is>
          <t>No</t>
        </is>
      </c>
      <c r="F5" s="258" t="inlineStr">
        <is>
          <t>N/A</t>
        </is>
      </c>
      <c r="G5" s="258" t="inlineStr">
        <is>
          <t>Must be reviewed before coding</t>
        </is>
      </c>
      <c r="H5" s="258" t="inlineStr">
        <is>
          <t>Planned</t>
        </is>
      </c>
      <c r="I5" s="258" t="inlineStr">
        <is>
          <t>2026-05-05</t>
        </is>
      </c>
      <c r="J5" s="258" t="n"/>
      <c r="K5" s="258" t="n"/>
    </row>
    <row r="6">
      <c r="A6" s="258" t="inlineStr">
        <is>
          <t>/docs/workbook/</t>
        </is>
      </c>
      <c r="B6" s="258" t="inlineStr">
        <is>
          <t>Workbook tracker</t>
        </is>
      </c>
      <c r="C6" s="258" t="inlineStr">
        <is>
          <t>Project</t>
        </is>
      </c>
      <c r="D6" s="258" t="inlineStr">
        <is>
          <t>User/ChatGPT</t>
        </is>
      </c>
      <c r="E6" s="258" t="inlineStr">
        <is>
          <t>No</t>
        </is>
      </c>
      <c r="F6" s="258" t="inlineStr">
        <is>
          <t>N/A</t>
        </is>
      </c>
      <c r="G6" s="258" t="inlineStr">
        <is>
          <t>Updated after each completed step</t>
        </is>
      </c>
      <c r="H6" s="258" t="inlineStr">
        <is>
          <t>Planned</t>
        </is>
      </c>
      <c r="I6" s="258" t="inlineStr">
        <is>
          <t>2026-05-05</t>
        </is>
      </c>
      <c r="J6" s="258" t="n"/>
      <c r="K6" s="258" t="n"/>
    </row>
    <row r="7">
      <c r="A7" s="258" t="inlineStr">
        <is>
          <t>/docs/diagrams/</t>
        </is>
      </c>
      <c r="B7" s="258" t="inlineStr">
        <is>
          <t>System and flow diagrams</t>
        </is>
      </c>
      <c r="C7" s="258" t="inlineStr">
        <is>
          <t>Project</t>
        </is>
      </c>
      <c r="D7" s="258" t="inlineStr">
        <is>
          <t>User/ChatGPT</t>
        </is>
      </c>
      <c r="E7" s="258" t="inlineStr">
        <is>
          <t>No</t>
        </is>
      </c>
      <c r="F7" s="258" t="inlineStr">
        <is>
          <t>N/A</t>
        </is>
      </c>
      <c r="G7" s="258" t="inlineStr">
        <is>
          <t>Test-aligned diagrams</t>
        </is>
      </c>
      <c r="H7" s="258" t="inlineStr">
        <is>
          <t>Planned</t>
        </is>
      </c>
      <c r="I7" s="258" t="inlineStr">
        <is>
          <t>2026-05-05</t>
        </is>
      </c>
      <c r="J7" s="258" t="n"/>
      <c r="K7" s="258" t="n"/>
    </row>
    <row r="8">
      <c r="A8" s="258" t="inlineStr">
        <is>
          <t>/docs/test-procedures/</t>
        </is>
      </c>
      <c r="B8" s="258" t="inlineStr">
        <is>
          <t>DOCX-derived validation references</t>
        </is>
      </c>
      <c r="C8" s="258" t="inlineStr">
        <is>
          <t>Project</t>
        </is>
      </c>
      <c r="D8" s="258" t="inlineStr">
        <is>
          <t>User/ChatGPT</t>
        </is>
      </c>
      <c r="E8" s="258" t="inlineStr">
        <is>
          <t>No</t>
        </is>
      </c>
      <c r="F8" s="258" t="inlineStr">
        <is>
          <t>N/A</t>
        </is>
      </c>
      <c r="G8" s="258" t="inlineStr">
        <is>
          <t>Acceptance criteria live here</t>
        </is>
      </c>
      <c r="H8" s="258" t="inlineStr">
        <is>
          <t>Planned</t>
        </is>
      </c>
      <c r="I8" s="258" t="inlineStr">
        <is>
          <t>2026-05-05</t>
        </is>
      </c>
      <c r="J8" s="258" t="n"/>
      <c r="K8" s="258" t="n"/>
    </row>
    <row r="9">
      <c r="A9" s="258" t="inlineStr">
        <is>
          <t>/esp32-node-platformio/</t>
        </is>
      </c>
      <c r="B9" s="258" t="inlineStr">
        <is>
          <t>ESP32 LoRa/Bluetooth node firmware</t>
        </is>
      </c>
      <c r="C9" s="258" t="inlineStr">
        <is>
          <t>ESP32</t>
        </is>
      </c>
      <c r="D9" s="258" t="inlineStr">
        <is>
          <t>Yes</t>
        </is>
      </c>
      <c r="E9" s="258" t="inlineStr">
        <is>
          <t>Yes</t>
        </is>
      </c>
      <c r="F9" s="258" t="inlineStr">
        <is>
          <t>pio run</t>
        </is>
      </c>
      <c r="G9" s="258" t="inlineStr">
        <is>
          <t>Simulation first, hardware later</t>
        </is>
      </c>
      <c r="H9" s="258" t="inlineStr">
        <is>
          <t>Planned</t>
        </is>
      </c>
      <c r="I9" s="258" t="inlineStr">
        <is>
          <t>2026-05-05</t>
        </is>
      </c>
      <c r="J9" s="258" t="n"/>
      <c r="K9" s="258" t="n"/>
    </row>
    <row r="10">
      <c r="A10" s="258" t="inlineStr">
        <is>
          <t>/rpi-gateway/</t>
        </is>
      </c>
      <c r="B10" s="258" t="inlineStr">
        <is>
          <t>Raspberry Pi gateway service/dashboard</t>
        </is>
      </c>
      <c r="C10" s="258" t="inlineStr">
        <is>
          <t>RPi</t>
        </is>
      </c>
      <c r="D10" s="258" t="inlineStr">
        <is>
          <t>Yes</t>
        </is>
      </c>
      <c r="E10" s="258" t="inlineStr">
        <is>
          <t>Partly</t>
        </is>
      </c>
      <c r="F10" s="258" t="inlineStr">
        <is>
          <t>python -m pytest</t>
        </is>
      </c>
      <c r="G10" s="258" t="inlineStr">
        <is>
          <t>Simulation first, SPI later</t>
        </is>
      </c>
      <c r="H10" s="258" t="inlineStr">
        <is>
          <t>Planned</t>
        </is>
      </c>
      <c r="I10" s="258" t="inlineStr">
        <is>
          <t>2026-05-05</t>
        </is>
      </c>
      <c r="J10" s="258" t="n"/>
      <c r="K10" s="258" t="n"/>
    </row>
    <row r="11">
      <c r="A11" s="258" t="inlineStr">
        <is>
          <t>/android-chat-app/</t>
        </is>
      </c>
      <c r="B11" s="258" t="inlineStr">
        <is>
          <t>Android messaging app</t>
        </is>
      </c>
      <c r="C11" s="258" t="inlineStr">
        <is>
          <t>Android</t>
        </is>
      </c>
      <c r="D11" s="258" t="inlineStr">
        <is>
          <t>Yes</t>
        </is>
      </c>
      <c r="E11" s="258" t="inlineStr">
        <is>
          <t>Partly</t>
        </is>
      </c>
      <c r="F11" s="258" t="inlineStr">
        <is>
          <t>./gradlew build</t>
        </is>
      </c>
      <c r="G11" s="258" t="inlineStr">
        <is>
          <t>Manual Auto/WiFi/GSM/LoRa selection</t>
        </is>
      </c>
      <c r="H11" s="258" t="inlineStr">
        <is>
          <t>Planned</t>
        </is>
      </c>
      <c r="I11" s="258" t="inlineStr">
        <is>
          <t>2026-05-05</t>
        </is>
      </c>
      <c r="J11" s="258" t="n"/>
      <c r="K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  <c r="I12" s="258" t="n"/>
      <c r="J12" s="258" t="n"/>
      <c r="K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  <c r="I14" s="258" t="n"/>
      <c r="J14" s="258" t="n"/>
      <c r="K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  <c r="I15" s="258" t="n"/>
      <c r="J15" s="258" t="n"/>
      <c r="K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  <c r="I16" s="258" t="n"/>
      <c r="J16" s="258" t="n"/>
      <c r="K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  <c r="I17" s="258" t="n"/>
      <c r="J17" s="258" t="n"/>
      <c r="K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  <c r="I18" s="258" t="n"/>
      <c r="J18" s="258" t="n"/>
      <c r="K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  <c r="I19" s="258" t="n"/>
      <c r="J19" s="258" t="n"/>
      <c r="K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  <c r="I20" s="258" t="n"/>
      <c r="J20" s="258" t="n"/>
      <c r="K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  <c r="I21" s="258" t="n"/>
      <c r="J21" s="258" t="n"/>
      <c r="K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  <c r="I22" s="258" t="n"/>
      <c r="J22" s="258" t="n"/>
      <c r="K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  <c r="I24" s="258" t="n"/>
      <c r="J24" s="258" t="n"/>
      <c r="K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  <c r="I25" s="258" t="n"/>
      <c r="J25" s="258" t="n"/>
      <c r="K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  <c r="I26" s="258" t="n"/>
      <c r="J26" s="258" t="n"/>
      <c r="K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  <c r="I27" s="258" t="n"/>
      <c r="J27" s="258" t="n"/>
      <c r="K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  <c r="I28" s="258" t="n"/>
      <c r="J28" s="258" t="n"/>
      <c r="K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  <c r="I29" s="258" t="n"/>
      <c r="J29" s="258" t="n"/>
      <c r="K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  <c r="I30" s="258" t="n"/>
      <c r="J30" s="258" t="n"/>
      <c r="K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  <c r="I31" s="258" t="n"/>
      <c r="J31" s="258" t="n"/>
      <c r="K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  <c r="I32" s="258" t="n"/>
      <c r="J32" s="258" t="n"/>
      <c r="K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  <c r="I33" s="258" t="n"/>
      <c r="J33" s="258" t="n"/>
      <c r="K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  <c r="I34" s="258" t="n"/>
      <c r="J34" s="258" t="n"/>
      <c r="K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  <c r="I35" s="258" t="n"/>
      <c r="J35" s="258" t="n"/>
      <c r="K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  <c r="I36" s="258" t="n"/>
      <c r="J36" s="258" t="n"/>
      <c r="K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  <c r="I37" s="258" t="n"/>
      <c r="J37" s="258" t="n"/>
      <c r="K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  <c r="I38" s="258" t="n"/>
      <c r="J38" s="258" t="n"/>
      <c r="K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  <c r="I40" s="258" t="n"/>
      <c r="J40" s="258" t="n"/>
      <c r="K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  <c r="I41" s="258" t="n"/>
      <c r="J41" s="258" t="n"/>
      <c r="K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  <c r="I42" s="258" t="n"/>
      <c r="J42" s="258" t="n"/>
      <c r="K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  <c r="I43" s="258" t="n"/>
      <c r="J43" s="258" t="n"/>
      <c r="K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  <c r="I44" s="258" t="n"/>
      <c r="J44" s="258" t="n"/>
      <c r="K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  <c r="I45" s="258" t="n"/>
      <c r="J45" s="258" t="n"/>
      <c r="K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  <c r="I46" s="258" t="n"/>
      <c r="J46" s="258" t="n"/>
      <c r="K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  <c r="I47" s="258" t="n"/>
      <c r="J47" s="258" t="n"/>
      <c r="K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  <c r="I48" s="258" t="n"/>
      <c r="J48" s="258" t="n"/>
      <c r="K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  <c r="I49" s="258" t="n"/>
      <c r="J49" s="258" t="n"/>
      <c r="K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  <c r="I50" s="258" t="n"/>
      <c r="J50" s="258" t="n"/>
      <c r="K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  <c r="I51" s="258" t="n"/>
      <c r="J51" s="258" t="n"/>
      <c r="K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  <c r="I52" s="258" t="n"/>
      <c r="J52" s="258" t="n"/>
      <c r="K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  <c r="I53" s="258" t="n"/>
      <c r="J53" s="258" t="n"/>
      <c r="K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  <c r="I54" s="258" t="n"/>
      <c r="J54" s="258" t="n"/>
      <c r="K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  <c r="I55" s="258" t="n"/>
      <c r="J55" s="258" t="n"/>
      <c r="K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  <c r="I56" s="258" t="n"/>
      <c r="J56" s="258" t="n"/>
      <c r="K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  <c r="I57" s="258" t="n"/>
      <c r="J57" s="258" t="n"/>
      <c r="K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  <c r="I58" s="258" t="n"/>
      <c r="J58" s="258" t="n"/>
      <c r="K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  <c r="I59" s="258" t="n"/>
      <c r="J59" s="258" t="n"/>
      <c r="K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  <c r="I60" s="258" t="n"/>
      <c r="J60" s="258" t="n"/>
      <c r="K60" s="258" t="n"/>
    </row>
  </sheetData>
  <mergeCells count="1">
    <mergeCell ref="A1:I1"/>
  </mergeCells>
  <dataValidations count="1">
    <dataValidation sqref="I4:I12" showDropDown="0" showInputMessage="0" showErrorMessage="0" allowBlank="0" type="list">
      <formula1>"Not Started,In Progress,Blocked,Completed,Skipped,Planned,Available"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0" customWidth="1" style="51" min="1" max="1"/>
    <col width="34" customWidth="1" style="51" min="2" max="2"/>
    <col width="32" customWidth="1" style="51" min="3" max="3"/>
    <col width="32" customWidth="1" style="51" min="4" max="4"/>
    <col width="28" customWidth="1" style="51" min="5" max="5"/>
    <col width="24" customWidth="1" style="51" min="6" max="6"/>
    <col width="36" customWidth="1" style="51" min="7" max="7"/>
    <col width="14" customWidth="1" style="51" min="8" max="8"/>
  </cols>
  <sheetData>
    <row r="1">
      <c r="A1" s="233" t="inlineStr">
        <is>
          <t>Codex CLI on MacBook Pro M1 Max</t>
        </is>
      </c>
      <c r="B1" s="233" t="str"/>
      <c r="C1" s="233" t="str"/>
      <c r="D1" s="233" t="str"/>
      <c r="E1" s="233" t="str"/>
      <c r="F1" s="233" t="str"/>
      <c r="G1" s="233" t="str"/>
      <c r="H1" s="233" t="str"/>
    </row>
    <row r="2">
      <c r="A2" s="258" t="n"/>
      <c r="B2" s="258" t="n"/>
      <c r="C2" s="258" t="n"/>
      <c r="D2" s="258" t="n"/>
      <c r="E2" s="258" t="n"/>
      <c r="F2" s="258" t="n"/>
      <c r="G2" s="258" t="n"/>
      <c r="H2" s="258" t="n"/>
    </row>
    <row r="3">
      <c r="A3" s="241" t="inlineStr">
        <is>
          <t>Step</t>
        </is>
      </c>
      <c r="B3" s="241" t="inlineStr">
        <is>
          <t>Command / Action</t>
        </is>
      </c>
      <c r="C3" s="241" t="inlineStr">
        <is>
          <t>Purpose</t>
        </is>
      </c>
      <c r="D3" s="241" t="inlineStr">
        <is>
          <t>Expected result</t>
        </is>
      </c>
      <c r="E3" s="241" t="inlineStr">
        <is>
          <t>When to use</t>
        </is>
      </c>
      <c r="F3" s="241" t="inlineStr">
        <is>
          <t>Workbook evidence</t>
        </is>
      </c>
      <c r="G3" s="241" t="inlineStr">
        <is>
          <t>Risk / Warning</t>
        </is>
      </c>
      <c r="H3" s="241" t="inlineStr">
        <is>
          <t>Status</t>
        </is>
      </c>
    </row>
    <row r="4">
      <c r="A4" s="258" t="inlineStr">
        <is>
          <t>1</t>
        </is>
      </c>
      <c r="B4" s="258" t="inlineStr">
        <is>
          <t>Create/clone GitHub repo locally</t>
        </is>
      </c>
      <c r="C4" s="258" t="inlineStr">
        <is>
          <t>Prepare local project folder for Codex CLI</t>
        </is>
      </c>
      <c r="D4" s="258" t="inlineStr">
        <is>
          <t>Repo folder exists on Mac</t>
        </is>
      </c>
      <c r="E4" s="258" t="inlineStr">
        <is>
          <t>Before local Codex tasks</t>
        </is>
      </c>
      <c r="F4" s="258" t="inlineStr">
        <is>
          <t>Screenshot or terminal output</t>
        </is>
      </c>
      <c r="G4" s="258" t="inlineStr">
        <is>
          <t>Do not create duplicate unrelated folders</t>
        </is>
      </c>
      <c r="H4" s="258" t="inlineStr">
        <is>
          <t>Planned</t>
        </is>
      </c>
    </row>
    <row r="5">
      <c r="A5" s="258" t="inlineStr">
        <is>
          <t>2</t>
        </is>
      </c>
      <c r="B5" s="258" t="inlineStr">
        <is>
          <t>cd pup-manet-emergency-messaging</t>
        </is>
      </c>
      <c r="C5" s="258" t="inlineStr">
        <is>
          <t>Enter repo root before running Codex</t>
        </is>
      </c>
      <c r="D5" s="258" t="inlineStr">
        <is>
          <t>Terminal path is repo root</t>
        </is>
      </c>
      <c r="E5" s="258" t="inlineStr">
        <is>
          <t>Every CLI session</t>
        </is>
      </c>
      <c r="F5" s="258" t="inlineStr">
        <is>
          <t>Terminal output</t>
        </is>
      </c>
      <c r="G5" s="258" t="inlineStr">
        <is>
          <t>Running Codex outside repo may edit wrong folder</t>
        </is>
      </c>
      <c r="H5" s="258" t="inlineStr">
        <is>
          <t>Planned</t>
        </is>
      </c>
    </row>
    <row r="6">
      <c r="A6" s="258" t="inlineStr">
        <is>
          <t>3</t>
        </is>
      </c>
      <c r="B6" s="258" t="inlineStr">
        <is>
          <t>codex</t>
        </is>
      </c>
      <c r="C6" s="258" t="inlineStr">
        <is>
          <t>Start Codex CLI</t>
        </is>
      </c>
      <c r="D6" s="258" t="inlineStr">
        <is>
          <t>Interactive Codex session opens</t>
        </is>
      </c>
      <c r="E6" s="258" t="inlineStr">
        <is>
          <t>Local review/editing</t>
        </is>
      </c>
      <c r="F6" s="258" t="inlineStr">
        <is>
          <t>Screenshot or note</t>
        </is>
      </c>
      <c r="G6" s="258" t="inlineStr">
        <is>
          <t>Do not approve large rewrites without review</t>
        </is>
      </c>
      <c r="H6" s="258" t="inlineStr">
        <is>
          <t>Planned</t>
        </is>
      </c>
    </row>
    <row r="7">
      <c r="A7" s="258" t="inlineStr">
        <is>
          <t>4</t>
        </is>
      </c>
      <c r="B7" s="258" t="inlineStr">
        <is>
          <t>Ask Codex to inspect only first</t>
        </is>
      </c>
      <c r="C7" s="258" t="inlineStr">
        <is>
          <t>Prevent unnecessary rewrites</t>
        </is>
      </c>
      <c r="D7" s="258" t="inlineStr">
        <is>
          <t>Codex reports findings before changing files</t>
        </is>
      </c>
      <c r="E7" s="258" t="inlineStr">
        <is>
          <t>Before any coding task</t>
        </is>
      </c>
      <c r="F7" s="258" t="inlineStr">
        <is>
          <t>Codex summary</t>
        </is>
      </c>
      <c r="G7" s="258" t="inlineStr">
        <is>
          <t>Must keep changes scoped to workbook step</t>
        </is>
      </c>
      <c r="H7" s="258" t="inlineStr">
        <is>
          <t>Planned</t>
        </is>
      </c>
    </row>
    <row r="8">
      <c r="A8" s="258" t="inlineStr">
        <is>
          <t>5</t>
        </is>
      </c>
      <c r="B8" s="258" t="inlineStr">
        <is>
          <t>Run local build/test commands</t>
        </is>
      </c>
      <c r="C8" s="258" t="inlineStr">
        <is>
          <t>Verify code before commit/PR</t>
        </is>
      </c>
      <c r="D8" s="258" t="inlineStr">
        <is>
          <t>Build/test output available</t>
        </is>
      </c>
      <c r="E8" s="258" t="inlineStr">
        <is>
          <t>After Codex changes</t>
        </is>
      </c>
      <c r="F8" s="258" t="inlineStr">
        <is>
          <t>Build log</t>
        </is>
      </c>
      <c r="G8" s="258" t="inlineStr">
        <is>
          <t>Hardware tests still require actual devices</t>
        </is>
      </c>
      <c r="H8" s="258" t="inlineStr">
        <is>
          <t>Planned</t>
        </is>
      </c>
    </row>
    <row r="9">
      <c r="A9" s="258" t="inlineStr">
        <is>
          <t>6</t>
        </is>
      </c>
      <c r="B9" s="258" t="inlineStr">
        <is>
          <t>git status / git diff</t>
        </is>
      </c>
      <c r="C9" s="258" t="inlineStr">
        <is>
          <t>Review changed files</t>
        </is>
      </c>
      <c r="D9" s="258" t="inlineStr">
        <is>
          <t>Only expected files changed</t>
        </is>
      </c>
      <c r="E9" s="258" t="inlineStr">
        <is>
          <t>Before commit</t>
        </is>
      </c>
      <c r="F9" s="258" t="inlineStr">
        <is>
          <t>Diff summary</t>
        </is>
      </c>
      <c r="G9" s="258" t="inlineStr">
        <is>
          <t>Never commit secrets or local config</t>
        </is>
      </c>
      <c r="H9" s="258" t="inlineStr">
        <is>
          <t>Planned</t>
        </is>
      </c>
    </row>
    <row r="10">
      <c r="A10" s="258" t="inlineStr">
        <is>
          <t>7</t>
        </is>
      </c>
      <c r="B10" s="258" t="inlineStr">
        <is>
          <t>Commit and push branch</t>
        </is>
      </c>
      <c r="C10" s="258" t="inlineStr">
        <is>
          <t>Send work to GitHub</t>
        </is>
      </c>
      <c r="D10" s="258" t="inlineStr">
        <is>
          <t>Branch visible in GitHub</t>
        </is>
      </c>
      <c r="E10" s="258" t="inlineStr">
        <is>
          <t>After successful review</t>
        </is>
      </c>
      <c r="F10" s="258" t="inlineStr">
        <is>
          <t>Commit hash</t>
        </is>
      </c>
      <c r="G10" s="258" t="inlineStr">
        <is>
          <t>Use meaningful commit messages</t>
        </is>
      </c>
      <c r="H10" s="258" t="inlineStr">
        <is>
          <t>Planned</t>
        </is>
      </c>
    </row>
    <row r="11">
      <c r="A11" s="258" t="n"/>
      <c r="B11" s="258" t="n"/>
      <c r="C11" s="258" t="n"/>
      <c r="D11" s="258" t="n"/>
      <c r="E11" s="258" t="n"/>
      <c r="F11" s="258" t="n"/>
      <c r="G11" s="258" t="n"/>
      <c r="H11" s="258" t="n"/>
    </row>
    <row r="12">
      <c r="A12" s="258" t="n"/>
      <c r="B12" s="258" t="n"/>
      <c r="C12" s="258" t="n"/>
      <c r="D12" s="258" t="n"/>
      <c r="E12" s="258" t="n"/>
      <c r="F12" s="258" t="n"/>
      <c r="G12" s="258" t="n"/>
      <c r="H12" s="258" t="n"/>
    </row>
    <row r="13">
      <c r="A13" s="258" t="n"/>
      <c r="B13" s="258" t="n"/>
      <c r="C13" s="258" t="n"/>
      <c r="D13" s="258" t="n"/>
      <c r="E13" s="258" t="n"/>
      <c r="F13" s="258" t="n"/>
      <c r="G13" s="258" t="n"/>
      <c r="H13" s="258" t="n"/>
    </row>
    <row r="14">
      <c r="A14" s="258" t="n"/>
      <c r="B14" s="258" t="n"/>
      <c r="C14" s="258" t="n"/>
      <c r="D14" s="258" t="n"/>
      <c r="E14" s="258" t="n"/>
      <c r="F14" s="258" t="n"/>
      <c r="G14" s="258" t="n"/>
      <c r="H14" s="258" t="n"/>
    </row>
    <row r="15">
      <c r="A15" s="258" t="n"/>
      <c r="B15" s="258" t="n"/>
      <c r="C15" s="258" t="n"/>
      <c r="D15" s="258" t="n"/>
      <c r="E15" s="258" t="n"/>
      <c r="F15" s="258" t="n"/>
      <c r="G15" s="258" t="n"/>
      <c r="H15" s="258" t="n"/>
    </row>
    <row r="16">
      <c r="A16" s="258" t="n"/>
      <c r="B16" s="258" t="n"/>
      <c r="C16" s="258" t="n"/>
      <c r="D16" s="258" t="n"/>
      <c r="E16" s="258" t="n"/>
      <c r="F16" s="258" t="n"/>
      <c r="G16" s="258" t="n"/>
      <c r="H16" s="258" t="n"/>
    </row>
    <row r="17">
      <c r="A17" s="258" t="n"/>
      <c r="B17" s="258" t="n"/>
      <c r="C17" s="258" t="n"/>
      <c r="D17" s="258" t="n"/>
      <c r="E17" s="258" t="n"/>
      <c r="F17" s="258" t="n"/>
      <c r="G17" s="258" t="n"/>
      <c r="H17" s="258" t="n"/>
    </row>
    <row r="18">
      <c r="A18" s="258" t="n"/>
      <c r="B18" s="258" t="n"/>
      <c r="C18" s="258" t="n"/>
      <c r="D18" s="258" t="n"/>
      <c r="E18" s="258" t="n"/>
      <c r="F18" s="258" t="n"/>
      <c r="G18" s="258" t="n"/>
      <c r="H18" s="258" t="n"/>
    </row>
    <row r="19">
      <c r="A19" s="258" t="n"/>
      <c r="B19" s="258" t="n"/>
      <c r="C19" s="258" t="n"/>
      <c r="D19" s="258" t="n"/>
      <c r="E19" s="258" t="n"/>
      <c r="F19" s="258" t="n"/>
      <c r="G19" s="258" t="n"/>
      <c r="H19" s="258" t="n"/>
    </row>
    <row r="20">
      <c r="A20" s="258" t="n"/>
      <c r="B20" s="258" t="n"/>
      <c r="C20" s="258" t="n"/>
      <c r="D20" s="258" t="n"/>
      <c r="E20" s="258" t="n"/>
      <c r="F20" s="258" t="n"/>
      <c r="G20" s="258" t="n"/>
      <c r="H20" s="258" t="n"/>
    </row>
    <row r="21">
      <c r="A21" s="258" t="n"/>
      <c r="B21" s="258" t="n"/>
      <c r="C21" s="258" t="n"/>
      <c r="D21" s="258" t="n"/>
      <c r="E21" s="258" t="n"/>
      <c r="F21" s="258" t="n"/>
      <c r="G21" s="258" t="n"/>
      <c r="H21" s="258" t="n"/>
    </row>
    <row r="22">
      <c r="A22" s="258" t="n"/>
      <c r="B22" s="258" t="n"/>
      <c r="C22" s="258" t="n"/>
      <c r="D22" s="258" t="n"/>
      <c r="E22" s="258" t="n"/>
      <c r="F22" s="258" t="n"/>
      <c r="G22" s="258" t="n"/>
      <c r="H22" s="258" t="n"/>
    </row>
    <row r="23">
      <c r="A23" s="258" t="n"/>
      <c r="B23" s="258" t="n"/>
      <c r="C23" s="258" t="n"/>
      <c r="D23" s="258" t="n"/>
      <c r="E23" s="258" t="n"/>
      <c r="F23" s="258" t="n"/>
      <c r="G23" s="258" t="n"/>
      <c r="H23" s="258" t="n"/>
    </row>
    <row r="24">
      <c r="A24" s="258" t="n"/>
      <c r="B24" s="258" t="n"/>
      <c r="C24" s="258" t="n"/>
      <c r="D24" s="258" t="n"/>
      <c r="E24" s="258" t="n"/>
      <c r="F24" s="258" t="n"/>
      <c r="G24" s="258" t="n"/>
      <c r="H24" s="258" t="n"/>
    </row>
    <row r="25">
      <c r="A25" s="258" t="n"/>
      <c r="B25" s="258" t="n"/>
      <c r="C25" s="258" t="n"/>
      <c r="D25" s="258" t="n"/>
      <c r="E25" s="258" t="n"/>
      <c r="F25" s="258" t="n"/>
      <c r="G25" s="258" t="n"/>
      <c r="H25" s="258" t="n"/>
    </row>
    <row r="26">
      <c r="A26" s="258" t="n"/>
      <c r="B26" s="258" t="n"/>
      <c r="C26" s="258" t="n"/>
      <c r="D26" s="258" t="n"/>
      <c r="E26" s="258" t="n"/>
      <c r="F26" s="258" t="n"/>
      <c r="G26" s="258" t="n"/>
      <c r="H26" s="258" t="n"/>
    </row>
    <row r="27">
      <c r="A27" s="258" t="n"/>
      <c r="B27" s="258" t="n"/>
      <c r="C27" s="258" t="n"/>
      <c r="D27" s="258" t="n"/>
      <c r="E27" s="258" t="n"/>
      <c r="F27" s="258" t="n"/>
      <c r="G27" s="258" t="n"/>
      <c r="H27" s="258" t="n"/>
    </row>
    <row r="28">
      <c r="A28" s="258" t="n"/>
      <c r="B28" s="258" t="n"/>
      <c r="C28" s="258" t="n"/>
      <c r="D28" s="258" t="n"/>
      <c r="E28" s="258" t="n"/>
      <c r="F28" s="258" t="n"/>
      <c r="G28" s="258" t="n"/>
      <c r="H28" s="258" t="n"/>
    </row>
    <row r="29">
      <c r="A29" s="258" t="n"/>
      <c r="B29" s="258" t="n"/>
      <c r="C29" s="258" t="n"/>
      <c r="D29" s="258" t="n"/>
      <c r="E29" s="258" t="n"/>
      <c r="F29" s="258" t="n"/>
      <c r="G29" s="258" t="n"/>
      <c r="H29" s="258" t="n"/>
    </row>
    <row r="30">
      <c r="A30" s="258" t="n"/>
      <c r="B30" s="258" t="n"/>
      <c r="C30" s="258" t="n"/>
      <c r="D30" s="258" t="n"/>
      <c r="E30" s="258" t="n"/>
      <c r="F30" s="258" t="n"/>
      <c r="G30" s="258" t="n"/>
      <c r="H30" s="258" t="n"/>
    </row>
    <row r="31">
      <c r="A31" s="258" t="n"/>
      <c r="B31" s="258" t="n"/>
      <c r="C31" s="258" t="n"/>
      <c r="D31" s="258" t="n"/>
      <c r="E31" s="258" t="n"/>
      <c r="F31" s="258" t="n"/>
      <c r="G31" s="258" t="n"/>
      <c r="H31" s="258" t="n"/>
    </row>
    <row r="32">
      <c r="A32" s="258" t="n"/>
      <c r="B32" s="258" t="n"/>
      <c r="C32" s="258" t="n"/>
      <c r="D32" s="258" t="n"/>
      <c r="E32" s="258" t="n"/>
      <c r="F32" s="258" t="n"/>
      <c r="G32" s="258" t="n"/>
      <c r="H32" s="258" t="n"/>
    </row>
    <row r="33">
      <c r="A33" s="258" t="n"/>
      <c r="B33" s="258" t="n"/>
      <c r="C33" s="258" t="n"/>
      <c r="D33" s="258" t="n"/>
      <c r="E33" s="258" t="n"/>
      <c r="F33" s="258" t="n"/>
      <c r="G33" s="258" t="n"/>
      <c r="H33" s="258" t="n"/>
    </row>
    <row r="34">
      <c r="A34" s="258" t="n"/>
      <c r="B34" s="258" t="n"/>
      <c r="C34" s="258" t="n"/>
      <c r="D34" s="258" t="n"/>
      <c r="E34" s="258" t="n"/>
      <c r="F34" s="258" t="n"/>
      <c r="G34" s="258" t="n"/>
      <c r="H34" s="258" t="n"/>
    </row>
    <row r="35">
      <c r="A35" s="258" t="n"/>
      <c r="B35" s="258" t="n"/>
      <c r="C35" s="258" t="n"/>
      <c r="D35" s="258" t="n"/>
      <c r="E35" s="258" t="n"/>
      <c r="F35" s="258" t="n"/>
      <c r="G35" s="258" t="n"/>
      <c r="H35" s="258" t="n"/>
    </row>
    <row r="36">
      <c r="A36" s="258" t="n"/>
      <c r="B36" s="258" t="n"/>
      <c r="C36" s="258" t="n"/>
      <c r="D36" s="258" t="n"/>
      <c r="E36" s="258" t="n"/>
      <c r="F36" s="258" t="n"/>
      <c r="G36" s="258" t="n"/>
      <c r="H36" s="258" t="n"/>
    </row>
    <row r="37">
      <c r="A37" s="258" t="n"/>
      <c r="B37" s="258" t="n"/>
      <c r="C37" s="258" t="n"/>
      <c r="D37" s="258" t="n"/>
      <c r="E37" s="258" t="n"/>
      <c r="F37" s="258" t="n"/>
      <c r="G37" s="258" t="n"/>
      <c r="H37" s="258" t="n"/>
    </row>
    <row r="38">
      <c r="A38" s="258" t="n"/>
      <c r="B38" s="258" t="n"/>
      <c r="C38" s="258" t="n"/>
      <c r="D38" s="258" t="n"/>
      <c r="E38" s="258" t="n"/>
      <c r="F38" s="258" t="n"/>
      <c r="G38" s="258" t="n"/>
      <c r="H38" s="258" t="n"/>
    </row>
    <row r="39">
      <c r="A39" s="258" t="n"/>
      <c r="B39" s="258" t="n"/>
      <c r="C39" s="258" t="n"/>
      <c r="D39" s="258" t="n"/>
      <c r="E39" s="258" t="n"/>
      <c r="F39" s="258" t="n"/>
      <c r="G39" s="258" t="n"/>
      <c r="H39" s="258" t="n"/>
    </row>
    <row r="40">
      <c r="A40" s="258" t="n"/>
      <c r="B40" s="258" t="n"/>
      <c r="C40" s="258" t="n"/>
      <c r="D40" s="258" t="n"/>
      <c r="E40" s="258" t="n"/>
      <c r="F40" s="258" t="n"/>
      <c r="G40" s="258" t="n"/>
      <c r="H40" s="258" t="n"/>
    </row>
    <row r="41">
      <c r="A41" s="258" t="n"/>
      <c r="B41" s="258" t="n"/>
      <c r="C41" s="258" t="n"/>
      <c r="D41" s="258" t="n"/>
      <c r="E41" s="258" t="n"/>
      <c r="F41" s="258" t="n"/>
      <c r="G41" s="258" t="n"/>
      <c r="H41" s="258" t="n"/>
    </row>
    <row r="42">
      <c r="A42" s="258" t="n"/>
      <c r="B42" s="258" t="n"/>
      <c r="C42" s="258" t="n"/>
      <c r="D42" s="258" t="n"/>
      <c r="E42" s="258" t="n"/>
      <c r="F42" s="258" t="n"/>
      <c r="G42" s="258" t="n"/>
      <c r="H42" s="258" t="n"/>
    </row>
    <row r="43">
      <c r="A43" s="258" t="n"/>
      <c r="B43" s="258" t="n"/>
      <c r="C43" s="258" t="n"/>
      <c r="D43" s="258" t="n"/>
      <c r="E43" s="258" t="n"/>
      <c r="F43" s="258" t="n"/>
      <c r="G43" s="258" t="n"/>
      <c r="H43" s="258" t="n"/>
    </row>
    <row r="44">
      <c r="A44" s="258" t="n"/>
      <c r="B44" s="258" t="n"/>
      <c r="C44" s="258" t="n"/>
      <c r="D44" s="258" t="n"/>
      <c r="E44" s="258" t="n"/>
      <c r="F44" s="258" t="n"/>
      <c r="G44" s="258" t="n"/>
      <c r="H44" s="258" t="n"/>
    </row>
    <row r="45">
      <c r="A45" s="258" t="n"/>
      <c r="B45" s="258" t="n"/>
      <c r="C45" s="258" t="n"/>
      <c r="D45" s="258" t="n"/>
      <c r="E45" s="258" t="n"/>
      <c r="F45" s="258" t="n"/>
      <c r="G45" s="258" t="n"/>
      <c r="H45" s="258" t="n"/>
    </row>
    <row r="46">
      <c r="A46" s="258" t="n"/>
      <c r="B46" s="258" t="n"/>
      <c r="C46" s="258" t="n"/>
      <c r="D46" s="258" t="n"/>
      <c r="E46" s="258" t="n"/>
      <c r="F46" s="258" t="n"/>
      <c r="G46" s="258" t="n"/>
      <c r="H46" s="258" t="n"/>
    </row>
    <row r="47">
      <c r="A47" s="258" t="n"/>
      <c r="B47" s="258" t="n"/>
      <c r="C47" s="258" t="n"/>
      <c r="D47" s="258" t="n"/>
      <c r="E47" s="258" t="n"/>
      <c r="F47" s="258" t="n"/>
      <c r="G47" s="258" t="n"/>
      <c r="H47" s="258" t="n"/>
    </row>
    <row r="48">
      <c r="A48" s="258" t="n"/>
      <c r="B48" s="258" t="n"/>
      <c r="C48" s="258" t="n"/>
      <c r="D48" s="258" t="n"/>
      <c r="E48" s="258" t="n"/>
      <c r="F48" s="258" t="n"/>
      <c r="G48" s="258" t="n"/>
      <c r="H48" s="258" t="n"/>
    </row>
    <row r="49">
      <c r="A49" s="258" t="n"/>
      <c r="B49" s="258" t="n"/>
      <c r="C49" s="258" t="n"/>
      <c r="D49" s="258" t="n"/>
      <c r="E49" s="258" t="n"/>
      <c r="F49" s="258" t="n"/>
      <c r="G49" s="258" t="n"/>
      <c r="H49" s="258" t="n"/>
    </row>
    <row r="50">
      <c r="A50" s="258" t="n"/>
      <c r="B50" s="258" t="n"/>
      <c r="C50" s="258" t="n"/>
      <c r="D50" s="258" t="n"/>
      <c r="E50" s="258" t="n"/>
      <c r="F50" s="258" t="n"/>
      <c r="G50" s="258" t="n"/>
      <c r="H50" s="258" t="n"/>
    </row>
    <row r="51">
      <c r="A51" s="258" t="n"/>
      <c r="B51" s="258" t="n"/>
      <c r="C51" s="258" t="n"/>
      <c r="D51" s="258" t="n"/>
      <c r="E51" s="258" t="n"/>
      <c r="F51" s="258" t="n"/>
      <c r="G51" s="258" t="n"/>
      <c r="H51" s="258" t="n"/>
    </row>
    <row r="52">
      <c r="A52" s="258" t="n"/>
      <c r="B52" s="258" t="n"/>
      <c r="C52" s="258" t="n"/>
      <c r="D52" s="258" t="n"/>
      <c r="E52" s="258" t="n"/>
      <c r="F52" s="258" t="n"/>
      <c r="G52" s="258" t="n"/>
      <c r="H52" s="258" t="n"/>
    </row>
    <row r="53">
      <c r="A53" s="258" t="n"/>
      <c r="B53" s="258" t="n"/>
      <c r="C53" s="258" t="n"/>
      <c r="D53" s="258" t="n"/>
      <c r="E53" s="258" t="n"/>
      <c r="F53" s="258" t="n"/>
      <c r="G53" s="258" t="n"/>
      <c r="H53" s="258" t="n"/>
    </row>
    <row r="54">
      <c r="A54" s="258" t="n"/>
      <c r="B54" s="258" t="n"/>
      <c r="C54" s="258" t="n"/>
      <c r="D54" s="258" t="n"/>
      <c r="E54" s="258" t="n"/>
      <c r="F54" s="258" t="n"/>
      <c r="G54" s="258" t="n"/>
      <c r="H54" s="258" t="n"/>
    </row>
    <row r="55">
      <c r="A55" s="258" t="n"/>
      <c r="B55" s="258" t="n"/>
      <c r="C55" s="258" t="n"/>
      <c r="D55" s="258" t="n"/>
      <c r="E55" s="258" t="n"/>
      <c r="F55" s="258" t="n"/>
      <c r="G55" s="258" t="n"/>
      <c r="H55" s="258" t="n"/>
    </row>
    <row r="56">
      <c r="A56" s="258" t="n"/>
      <c r="B56" s="258" t="n"/>
      <c r="C56" s="258" t="n"/>
      <c r="D56" s="258" t="n"/>
      <c r="E56" s="258" t="n"/>
      <c r="F56" s="258" t="n"/>
      <c r="G56" s="258" t="n"/>
      <c r="H56" s="258" t="n"/>
    </row>
    <row r="57">
      <c r="A57" s="258" t="n"/>
      <c r="B57" s="258" t="n"/>
      <c r="C57" s="258" t="n"/>
      <c r="D57" s="258" t="n"/>
      <c r="E57" s="258" t="n"/>
      <c r="F57" s="258" t="n"/>
      <c r="G57" s="258" t="n"/>
      <c r="H57" s="258" t="n"/>
    </row>
    <row r="58">
      <c r="A58" s="258" t="n"/>
      <c r="B58" s="258" t="n"/>
      <c r="C58" s="258" t="n"/>
      <c r="D58" s="258" t="n"/>
      <c r="E58" s="258" t="n"/>
      <c r="F58" s="258" t="n"/>
      <c r="G58" s="258" t="n"/>
      <c r="H58" s="258" t="n"/>
    </row>
    <row r="59">
      <c r="A59" s="258" t="n"/>
      <c r="B59" s="258" t="n"/>
      <c r="C59" s="258" t="n"/>
      <c r="D59" s="258" t="n"/>
      <c r="E59" s="258" t="n"/>
      <c r="F59" s="258" t="n"/>
      <c r="G59" s="258" t="n"/>
      <c r="H59" s="258" t="n"/>
    </row>
    <row r="60">
      <c r="A60" s="258" t="n"/>
      <c r="B60" s="258" t="n"/>
      <c r="C60" s="258" t="n"/>
      <c r="D60" s="258" t="n"/>
      <c r="E60" s="258" t="n"/>
      <c r="F60" s="258" t="n"/>
      <c r="G60" s="258" t="n"/>
      <c r="H60" s="25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2026-05-12T13:38:51Z</dcterms:created>
  <dcterms:modified xmlns:dcterms="http://purl.org/dc/terms/" xmlns:xsi="http://www.w3.org/2001/XMLSchema-instance" xsi:type="dcterms:W3CDTF">2026-05-13T14:56:09Z</dcterms:modified>
</cp:coreProperties>
</file>