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1.xml" ContentType="application/vnd.openxmlformats-officedocument.drawing+xml"/>
  <Override PartName="/xl/worksheets/sheet17.xml" ContentType="application/vnd.openxmlformats-officedocument.spreadsheetml.worksheet+xml"/>
  <Override PartName="/xl/drawings/drawing2.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README" sheetId="2" state="visible" r:id="rId2"/>
    <sheet name="Architecture" sheetId="3" state="visible" r:id="rId3"/>
    <sheet name="Phase Plan" sheetId="4" state="visible" r:id="rId4"/>
    <sheet name="Detailed Steps" sheetId="5" state="visible" r:id="rId5"/>
    <sheet name="Hardware BOM" sheetId="6" state="visible" r:id="rId6"/>
    <sheet name="Config Tracker" sheetId="7" state="visible" r:id="rId7"/>
    <sheet name="Packet Protocol" sheetId="8" state="visible" r:id="rId8"/>
    <sheet name="Routing &amp; Failover" sheetId="9" state="visible" r:id="rId9"/>
    <sheet name="Simulation Plan" sheetId="10" state="visible" r:id="rId10"/>
    <sheet name="Android App Plan" sheetId="11" state="visible" r:id="rId11"/>
    <sheet name="Test Campaign" sheetId="12" state="visible" r:id="rId12"/>
    <sheet name="Progress Tracker" sheetId="13" state="visible" r:id="rId13"/>
    <sheet name="Issue Log" sheetId="14" state="visible" r:id="rId14"/>
    <sheet name="Decision Log" sheetId="15" state="visible" r:id="rId15"/>
    <sheet name="System Diagram" sheetId="16" state="visible" r:id="rId16"/>
    <sheet name="Data Flow" sheetId="17" state="visible" r:id="rId17"/>
    <sheet name="Codex GitHub Workflow" sheetId="18" state="visible" r:id="rId18"/>
    <sheet name="Codex Task Prompts" sheetId="19" state="visible" r:id="rId19"/>
    <sheet name="Repo Structure" sheetId="20" state="visible" r:id="rId20"/>
    <sheet name="Codex CLI on Mac" sheetId="21" state="visible" r:id="rId21"/>
    <sheet name="AI Stack" sheetId="22" state="visible" r:id="rId22"/>
    <sheet name="AI Router" sheetId="23" state="visible" r:id="rId23"/>
    <sheet name="Active Context Snapshot" sheetId="24" state="visible" r:id="rId24"/>
    <sheet name="AI Session Handoff" sheetId="25" state="visible" r:id="rId25"/>
    <sheet name="Prompt Library" sheetId="26" state="visible" r:id="rId26"/>
    <sheet name="Build Validation Matrix" sheetId="27" state="visible" r:id="rId27"/>
    <sheet name="Environment Snapshot" sheetId="28" state="visible" r:id="rId28"/>
    <sheet name="AI Model Routing Log" sheetId="29" state="visible" r:id="rId29"/>
    <sheet name="Codex Task Log" sheetId="30" state="visible" r:id="rId30"/>
  </sheets>
  <definedNames/>
</workbook>
</file>

<file path=xl/styles.xml><?xml version="1.0" encoding="utf-8"?>
<styleSheet xmlns="http://schemas.openxmlformats.org/spreadsheetml/2006/main">
  <numFmts count="1">
    <numFmt numFmtId="164" formatCode="yyyy-mm-dd"/>
  </numFmts>
  <fonts count="23">
    <font>
      <name val="Carlito"/>
      <sz val="11"/>
    </font>
    <font>
      <name val="Carlito"/>
      <b val="1"/>
      <color rgb="00FFFFFF"/>
      <sz val="16"/>
    </font>
    <font>
      <name val="Carlito"/>
      <b val="1"/>
      <color rgb="00000000"/>
      <sz val="11"/>
    </font>
    <font>
      <name val="Carlito"/>
      <b val="1"/>
      <color rgb="00FFFFFF"/>
      <sz val="11"/>
    </font>
    <font>
      <name val="Carlito"/>
      <b val="1"/>
      <color rgb="001E3A8A"/>
      <sz val="11"/>
    </font>
    <font>
      <name val="Carlito"/>
      <b val="1"/>
      <color rgb="00166534"/>
      <sz val="11"/>
    </font>
    <font>
      <name val="Carlito"/>
      <b val="1"/>
      <color rgb="0092400E"/>
      <sz val="11"/>
    </font>
    <font>
      <name val="Carlito"/>
      <b val="1"/>
      <color rgb="00991B1B"/>
      <sz val="11"/>
    </font>
    <font>
      <name val="Carlito"/>
      <b val="1"/>
      <color rgb="00334155"/>
      <sz val="11"/>
    </font>
    <font>
      <name val="Carlito"/>
      <b val="1"/>
      <sz val="11"/>
    </font>
    <font>
      <name val="Carlito"/>
      <color rgb="00334155"/>
      <sz val="11"/>
    </font>
    <font>
      <name val="Carlito"/>
      <b val="1"/>
      <color rgb="00075985"/>
      <sz val="11"/>
    </font>
    <font>
      <name val="Carlito"/>
      <b val="1"/>
      <color rgb="00334155"/>
      <sz val="18"/>
    </font>
    <font>
      <name val="Carlito"/>
      <b val="1"/>
      <color rgb="00FFFFFF"/>
      <sz val="13"/>
    </font>
    <font>
      <name val="Carlito"/>
      <b val="1"/>
      <color rgb="00111827"/>
      <sz val="11"/>
    </font>
    <font>
      <name val="Carlito"/>
      <b val="1"/>
      <color rgb="009A3412"/>
      <sz val="11"/>
    </font>
    <font>
      <name val="Carlito"/>
      <b val="1"/>
      <color rgb="00FFFFFF"/>
      <sz val="14"/>
    </font>
    <font>
      <name val="Carlito"/>
      <b val="1"/>
      <color rgb="000B1F4D"/>
      <sz val="11"/>
    </font>
    <font>
      <name val="Carlito"/>
      <color rgb="007A4D00"/>
      <sz val="11"/>
    </font>
    <font>
      <b val="1"/>
    </font>
    <font>
      <b val="1"/>
      <color rgb="001F4E78"/>
      <sz val="14"/>
    </font>
    <font>
      <i val="1"/>
      <color rgb="00666666"/>
    </font>
    <font>
      <b val="1"/>
      <color rgb="00FFFFFF"/>
    </font>
  </fonts>
  <fills count="26">
    <fill>
      <patternFill/>
    </fill>
    <fill>
      <patternFill patternType="gray125"/>
    </fill>
    <fill>
      <patternFill patternType="solid">
        <fgColor rgb="000B1F33"/>
      </patternFill>
    </fill>
    <fill>
      <patternFill patternType="solid">
        <fgColor rgb="00D9EAF7"/>
      </patternFill>
    </fill>
    <fill>
      <patternFill patternType="solid">
        <fgColor rgb="001F4E78"/>
      </patternFill>
    </fill>
    <fill>
      <patternFill patternType="solid">
        <fgColor rgb="001E3A8A"/>
      </patternFill>
    </fill>
    <fill>
      <patternFill patternType="solid">
        <fgColor rgb="000F766E"/>
      </patternFill>
    </fill>
    <fill>
      <patternFill patternType="solid">
        <fgColor rgb="00DBEAFE"/>
      </patternFill>
    </fill>
    <fill>
      <patternFill patternType="solid">
        <fgColor rgb="00DCFCE7"/>
      </patternFill>
    </fill>
    <fill>
      <patternFill patternType="solid">
        <fgColor rgb="00FEF3C7"/>
      </patternFill>
    </fill>
    <fill>
      <patternFill patternType="solid">
        <fgColor rgb="00FEE2E2"/>
      </patternFill>
    </fill>
    <fill>
      <patternFill patternType="solid">
        <fgColor rgb="00E0F2FE"/>
      </patternFill>
    </fill>
    <fill>
      <patternFill patternType="solid">
        <fgColor rgb="00F8FAFC"/>
      </patternFill>
    </fill>
    <fill>
      <patternFill patternType="solid">
        <fgColor rgb="000B2A61"/>
      </patternFill>
    </fill>
    <fill>
      <patternFill patternType="solid">
        <fgColor rgb="00EAF3FF"/>
      </patternFill>
    </fill>
    <fill>
      <patternFill patternType="solid">
        <fgColor rgb="00FFF7ED"/>
      </patternFill>
    </fill>
    <fill>
      <patternFill patternType="solid">
        <fgColor rgb="000B1F4D"/>
      </patternFill>
    </fill>
    <fill>
      <patternFill patternType="solid">
        <fgColor rgb="001D4ED8"/>
      </patternFill>
    </fill>
    <fill>
      <patternFill patternType="solid">
        <fgColor rgb="00D9EAF7"/>
      </patternFill>
    </fill>
    <fill>
      <patternFill patternType="solid">
        <fgColor rgb="00FFF2CC"/>
      </patternFill>
    </fill>
    <fill>
      <patternFill patternType="solid">
        <fgColor rgb="00EAF2F8"/>
      </patternFill>
    </fill>
    <fill>
      <patternFill patternType="solid">
        <fgColor rgb="000B1F33"/>
      </patternFill>
    </fill>
    <fill>
      <patternFill patternType="solid">
        <fgColor rgb="00D9EAF7"/>
      </patternFill>
    </fill>
    <fill>
      <patternFill patternType="solid">
        <fgColor rgb="001F4E78"/>
      </patternFill>
    </fill>
    <fill>
      <patternFill patternType="solid">
        <fgColor rgb="00C6EFCE"/>
      </patternFill>
    </fill>
    <fill>
      <patternFill patternType="solid">
        <fgColor rgb="00DDEBF7"/>
      </patternFill>
    </fill>
  </fills>
  <borders count="12">
    <border/>
    <border/>
    <border>
      <left>
        <color rgb="0064748B"/>
      </left>
      <right>
        <color rgb="00CBD5E1"/>
      </right>
      <top>
        <color rgb="0064748B"/>
      </top>
      <bottom>
        <color rgb="00CBD5E1"/>
      </bottom>
    </border>
    <border>
      <left>
        <color rgb="00CBD5E1"/>
      </left>
      <right>
        <color rgb="0064748B"/>
      </right>
      <top>
        <color rgb="0064748B"/>
      </top>
      <bottom>
        <color rgb="00CBD5E1"/>
      </bottom>
    </border>
    <border>
      <left>
        <color rgb="0064748B"/>
      </left>
      <right>
        <color rgb="00CBD5E1"/>
      </right>
      <top>
        <color rgb="00CBD5E1"/>
      </top>
      <bottom>
        <color rgb="0064748B"/>
      </bottom>
    </border>
    <border>
      <left>
        <color rgb="00CBD5E1"/>
      </left>
      <right>
        <color rgb="0064748B"/>
      </right>
      <top>
        <color rgb="00CBD5E1"/>
      </top>
      <bottom>
        <color rgb="0064748B"/>
      </bottom>
    </border>
    <border>
      <left>
        <color rgb="00CBD5E1"/>
      </left>
      <right>
        <color rgb="00CBD5E1"/>
      </right>
      <top>
        <color rgb="0064748B"/>
      </top>
      <bottom>
        <color rgb="00CBD5E1"/>
      </bottom>
    </border>
    <border>
      <left>
        <color rgb="0064748B"/>
      </left>
      <right>
        <color rgb="00CBD5E1"/>
      </right>
      <top>
        <color rgb="00CBD5E1"/>
      </top>
      <bottom>
        <color rgb="00CBD5E1"/>
      </bottom>
    </border>
    <border>
      <left>
        <color rgb="00CBD5E1"/>
      </left>
      <right>
        <color rgb="00CBD5E1"/>
      </right>
      <top>
        <color rgb="00CBD5E1"/>
      </top>
      <bottom>
        <color rgb="00CBD5E1"/>
      </bottom>
    </border>
    <border>
      <left>
        <color rgb="00CBD5E1"/>
      </left>
      <right>
        <color rgb="0064748B"/>
      </right>
      <top>
        <color rgb="00CBD5E1"/>
      </top>
      <bottom>
        <color rgb="00CBD5E1"/>
      </bottom>
    </border>
    <border>
      <left>
        <color rgb="00CBD5E1"/>
      </left>
      <right>
        <color rgb="00CBD5E1"/>
      </right>
      <top>
        <color rgb="00CBD5E1"/>
      </top>
      <bottom>
        <color rgb="0064748B"/>
      </bottom>
    </border>
    <border>
      <left style="thin">
        <color rgb="00D9E2F3"/>
      </left>
      <right style="thin">
        <color rgb="00D9E2F3"/>
      </right>
      <top style="thin">
        <color rgb="00D9E2F3"/>
      </top>
      <bottom style="thin">
        <color rgb="00D9E2F3"/>
      </bottom>
    </border>
  </borders>
  <cellStyleXfs count="1">
    <xf numFmtId="0" fontId="0" fillId="0" borderId="1"/>
  </cellStyleXfs>
  <cellXfs count="283">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9" fontId="0" fillId="0" borderId="0" pivotButton="0" quotePrefix="0" xfId="0"/>
    <xf numFmtId="9" fontId="0" fillId="0" borderId="1" pivotButton="0" quotePrefix="0" xfId="0"/>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164" fontId="0" fillId="0" borderId="0" pivotButton="0" quotePrefix="0" xfId="0"/>
    <xf numFmtId="164" fontId="0" fillId="0" borderId="1" pivotButton="0" quotePrefix="0" xfId="0"/>
    <xf numFmtId="164" fontId="0" fillId="0" borderId="0" applyAlignment="1" pivotButton="0" quotePrefix="0" xfId="0">
      <alignment wrapText="1"/>
    </xf>
    <xf numFmtId="164" fontId="0" fillId="0" borderId="1" applyAlignment="1" pivotButton="0" quotePrefix="0" xfId="0">
      <alignment wrapText="1"/>
    </xf>
    <xf numFmtId="0" fontId="1" fillId="2" borderId="0" applyAlignment="1" pivotButton="0" quotePrefix="0" xfId="0">
      <alignment horizontal="left" vertical="top"/>
    </xf>
    <xf numFmtId="0" fontId="0" fillId="0" borderId="0" applyAlignment="1" pivotButton="0" quotePrefix="0" xfId="0">
      <alignment vertical="top"/>
    </xf>
    <xf numFmtId="0" fontId="2" fillId="3" borderId="0" applyAlignment="1" pivotButton="0" quotePrefix="0" xfId="0">
      <alignment horizontal="center" vertical="top" wrapText="1"/>
    </xf>
    <xf numFmtId="9" fontId="0" fillId="0" borderId="0" applyAlignment="1" pivotButton="0" quotePrefix="0" xfId="0">
      <alignment vertical="top"/>
    </xf>
    <xf numFmtId="0" fontId="3" fillId="4" borderId="0" applyAlignment="1" pivotButton="0" quotePrefix="0" xfId="0">
      <alignment horizontal="center" vertical="top" wrapText="1"/>
    </xf>
    <xf numFmtId="0" fontId="0" fillId="0" borderId="0" applyAlignment="1" pivotButton="0" quotePrefix="0" xfId="0">
      <alignment vertical="top" wrapText="1"/>
    </xf>
    <xf numFmtId="0" fontId="1" fillId="2" borderId="1" applyAlignment="1" pivotButton="0" quotePrefix="0" xfId="0">
      <alignment horizontal="left" vertical="top"/>
    </xf>
    <xf numFmtId="0" fontId="0" fillId="0" borderId="1" applyAlignment="1" pivotButton="0" quotePrefix="0" xfId="0">
      <alignment vertical="top"/>
    </xf>
    <xf numFmtId="0" fontId="2" fillId="3" borderId="1" applyAlignment="1" pivotButton="0" quotePrefix="0" xfId="0">
      <alignment horizontal="center" vertical="top" wrapText="1"/>
    </xf>
    <xf numFmtId="9" fontId="0" fillId="0" borderId="1" applyAlignment="1" pivotButton="0" quotePrefix="0" xfId="0">
      <alignment vertical="top"/>
    </xf>
    <xf numFmtId="0" fontId="3" fillId="4" borderId="1" applyAlignment="1" pivotButton="0" quotePrefix="0" xfId="0">
      <alignment horizontal="center" vertical="top" wrapText="1"/>
    </xf>
    <xf numFmtId="0" fontId="0" fillId="0" borderId="1" applyAlignment="1" pivotButton="0" quotePrefix="0" xfId="0">
      <alignment vertical="top" wrapText="1"/>
    </xf>
    <xf numFmtId="164" fontId="0" fillId="0" borderId="0" applyAlignment="1" pivotButton="0" quotePrefix="0" xfId="0">
      <alignment vertical="top" wrapText="1"/>
    </xf>
    <xf numFmtId="0" fontId="0" fillId="0" borderId="0" pivotButton="0" quotePrefix="0" xfId="0"/>
    <xf numFmtId="0" fontId="0" fillId="5" borderId="0" pivotButton="0" quotePrefix="0" xfId="0"/>
    <xf numFmtId="0" fontId="1" fillId="5" borderId="0" pivotButton="0" quotePrefix="0" xfId="0"/>
    <xf numFmtId="0" fontId="1" fillId="5" borderId="0" applyAlignment="1" pivotButton="0" quotePrefix="0" xfId="0">
      <alignment horizontal="center"/>
    </xf>
    <xf numFmtId="0" fontId="1" fillId="5" borderId="0" applyAlignment="1" pivotButton="0" quotePrefix="0" xfId="0">
      <alignment horizontal="center" vertical="center"/>
    </xf>
    <xf numFmtId="0" fontId="0" fillId="6" borderId="0" pivotButton="0" quotePrefix="0" xfId="0"/>
    <xf numFmtId="0" fontId="3" fillId="6" borderId="0" pivotButton="0" quotePrefix="0" xfId="0"/>
    <xf numFmtId="0" fontId="3" fillId="6" borderId="0" applyAlignment="1" pivotButton="0" quotePrefix="0" xfId="0">
      <alignment horizontal="center"/>
    </xf>
    <xf numFmtId="0" fontId="3" fillId="6" borderId="0" applyAlignment="1" pivotButton="0" quotePrefix="0" xfId="0">
      <alignment horizontal="center" vertical="center"/>
    </xf>
    <xf numFmtId="0" fontId="0" fillId="7" borderId="0" pivotButton="0" quotePrefix="0" xfId="0"/>
    <xf numFmtId="0" fontId="4" fillId="7" borderId="0" pivotButton="0" quotePrefix="0" xfId="0"/>
    <xf numFmtId="0" fontId="4" fillId="7" borderId="0" applyAlignment="1" pivotButton="0" quotePrefix="0" xfId="0">
      <alignment wrapText="1"/>
    </xf>
    <xf numFmtId="0" fontId="4" fillId="7" borderId="0" applyAlignment="1" pivotButton="0" quotePrefix="0" xfId="0">
      <alignment horizontal="center" wrapText="1"/>
    </xf>
    <xf numFmtId="0" fontId="4" fillId="7" borderId="0" applyAlignment="1" pivotButton="0" quotePrefix="0" xfId="0">
      <alignment horizontal="center" vertical="center" wrapText="1"/>
    </xf>
    <xf numFmtId="0" fontId="4" fillId="7" borderId="2" applyAlignment="1" pivotButton="0" quotePrefix="0" xfId="0">
      <alignment horizontal="center" vertical="center" wrapText="1"/>
    </xf>
    <xf numFmtId="0" fontId="4" fillId="7" borderId="3" applyAlignment="1" pivotButton="0" quotePrefix="0" xfId="0">
      <alignment horizontal="center" vertical="center" wrapText="1"/>
    </xf>
    <xf numFmtId="0" fontId="4" fillId="7" borderId="4" applyAlignment="1" pivotButton="0" quotePrefix="0" xfId="0">
      <alignment horizontal="center" vertical="center" wrapText="1"/>
    </xf>
    <xf numFmtId="0" fontId="4" fillId="7" borderId="5" applyAlignment="1" pivotButton="0" quotePrefix="0" xfId="0">
      <alignment horizontal="center" vertical="center" wrapText="1"/>
    </xf>
    <xf numFmtId="0" fontId="0" fillId="8" borderId="0" pivotButton="0" quotePrefix="0" xfId="0"/>
    <xf numFmtId="0" fontId="5" fillId="8" borderId="0" pivotButton="0" quotePrefix="0" xfId="0"/>
    <xf numFmtId="0" fontId="5" fillId="8" borderId="0" applyAlignment="1" pivotButton="0" quotePrefix="0" xfId="0">
      <alignment wrapText="1"/>
    </xf>
    <xf numFmtId="0" fontId="5" fillId="8" borderId="0" applyAlignment="1" pivotButton="0" quotePrefix="0" xfId="0">
      <alignment horizontal="center" wrapText="1"/>
    </xf>
    <xf numFmtId="0" fontId="5" fillId="8" borderId="0" applyAlignment="1" pivotButton="0" quotePrefix="0" xfId="0">
      <alignment horizontal="center" vertical="center" wrapText="1"/>
    </xf>
    <xf numFmtId="0" fontId="5" fillId="8" borderId="2" applyAlignment="1" pivotButton="0" quotePrefix="0" xfId="0">
      <alignment horizontal="center" vertical="center" wrapText="1"/>
    </xf>
    <xf numFmtId="0" fontId="5" fillId="8" borderId="3" applyAlignment="1" pivotButton="0" quotePrefix="0" xfId="0">
      <alignment horizontal="center" vertical="center" wrapText="1"/>
    </xf>
    <xf numFmtId="0" fontId="5" fillId="8" borderId="4" applyAlignment="1" pivotButton="0" quotePrefix="0" xfId="0">
      <alignment horizontal="center" vertical="center" wrapText="1"/>
    </xf>
    <xf numFmtId="0" fontId="5" fillId="8" borderId="5" applyAlignment="1" pivotButton="0" quotePrefix="0" xfId="0">
      <alignment horizontal="center" vertical="center" wrapText="1"/>
    </xf>
    <xf numFmtId="0" fontId="0" fillId="9" borderId="0" pivotButton="0" quotePrefix="0" xfId="0"/>
    <xf numFmtId="0" fontId="6" fillId="9" borderId="0" pivotButton="0" quotePrefix="0" xfId="0"/>
    <xf numFmtId="0" fontId="6" fillId="9" borderId="0" applyAlignment="1" pivotButton="0" quotePrefix="0" xfId="0">
      <alignment wrapText="1"/>
    </xf>
    <xf numFmtId="0" fontId="6" fillId="9" borderId="0" applyAlignment="1" pivotButton="0" quotePrefix="0" xfId="0">
      <alignment horizontal="center" wrapText="1"/>
    </xf>
    <xf numFmtId="0" fontId="6" fillId="9" borderId="0" applyAlignment="1" pivotButton="0" quotePrefix="0" xfId="0">
      <alignment horizontal="center" vertical="center" wrapText="1"/>
    </xf>
    <xf numFmtId="0" fontId="6" fillId="9" borderId="2" applyAlignment="1" pivotButton="0" quotePrefix="0" xfId="0">
      <alignment horizontal="center" vertical="center" wrapText="1"/>
    </xf>
    <xf numFmtId="0" fontId="6" fillId="9" borderId="6" applyAlignment="1" pivotButton="0" quotePrefix="0" xfId="0">
      <alignment horizontal="center" vertical="center" wrapText="1"/>
    </xf>
    <xf numFmtId="0" fontId="6" fillId="9" borderId="3" applyAlignment="1" pivotButton="0" quotePrefix="0" xfId="0">
      <alignment horizontal="center" vertical="center" wrapText="1"/>
    </xf>
    <xf numFmtId="0" fontId="6" fillId="9" borderId="7" applyAlignment="1" pivotButton="0" quotePrefix="0" xfId="0">
      <alignment horizontal="center" vertical="center" wrapText="1"/>
    </xf>
    <xf numFmtId="0" fontId="6" fillId="9" borderId="8" applyAlignment="1" pivotButton="0" quotePrefix="0" xfId="0">
      <alignment horizontal="center" vertical="center" wrapText="1"/>
    </xf>
    <xf numFmtId="0" fontId="6" fillId="9" borderId="9" applyAlignment="1" pivotButton="0" quotePrefix="0" xfId="0">
      <alignment horizontal="center" vertical="center" wrapText="1"/>
    </xf>
    <xf numFmtId="0" fontId="6" fillId="9" borderId="4" applyAlignment="1" pivotButton="0" quotePrefix="0" xfId="0">
      <alignment horizontal="center" vertical="center" wrapText="1"/>
    </xf>
    <xf numFmtId="0" fontId="6" fillId="9" borderId="10" applyAlignment="1" pivotButton="0" quotePrefix="0" xfId="0">
      <alignment horizontal="center" vertical="center" wrapText="1"/>
    </xf>
    <xf numFmtId="0" fontId="6" fillId="9" borderId="5" applyAlignment="1" pivotButton="0" quotePrefix="0" xfId="0">
      <alignment horizontal="center" vertical="center" wrapText="1"/>
    </xf>
    <xf numFmtId="0" fontId="0" fillId="10" borderId="0" pivotButton="0" quotePrefix="0" xfId="0"/>
    <xf numFmtId="0" fontId="7" fillId="10" borderId="0" pivotButton="0" quotePrefix="0" xfId="0"/>
    <xf numFmtId="0" fontId="7" fillId="10" borderId="0" applyAlignment="1" pivotButton="0" quotePrefix="0" xfId="0">
      <alignment wrapText="1"/>
    </xf>
    <xf numFmtId="0" fontId="7" fillId="10" borderId="0" applyAlignment="1" pivotButton="0" quotePrefix="0" xfId="0">
      <alignment horizontal="center" wrapText="1"/>
    </xf>
    <xf numFmtId="0" fontId="7" fillId="10" borderId="0" applyAlignment="1" pivotButton="0" quotePrefix="0" xfId="0">
      <alignment horizontal="center" vertical="center" wrapText="1"/>
    </xf>
    <xf numFmtId="0" fontId="7" fillId="10" borderId="2" applyAlignment="1" pivotButton="0" quotePrefix="0" xfId="0">
      <alignment horizontal="center" vertical="center" wrapText="1"/>
    </xf>
    <xf numFmtId="0" fontId="7" fillId="10" borderId="6" applyAlignment="1" pivotButton="0" quotePrefix="0" xfId="0">
      <alignment horizontal="center" vertical="center" wrapText="1"/>
    </xf>
    <xf numFmtId="0" fontId="7" fillId="10" borderId="3" applyAlignment="1" pivotButton="0" quotePrefix="0" xfId="0">
      <alignment horizontal="center" vertical="center" wrapText="1"/>
    </xf>
    <xf numFmtId="0" fontId="7" fillId="10" borderId="4" applyAlignment="1" pivotButton="0" quotePrefix="0" xfId="0">
      <alignment horizontal="center" vertical="center" wrapText="1"/>
    </xf>
    <xf numFmtId="0" fontId="7" fillId="10" borderId="10" applyAlignment="1" pivotButton="0" quotePrefix="0" xfId="0">
      <alignment horizontal="center" vertical="center" wrapText="1"/>
    </xf>
    <xf numFmtId="0" fontId="7" fillId="10" borderId="5" applyAlignment="1" pivotButton="0" quotePrefix="0" xfId="0">
      <alignment horizontal="center" vertical="center" wrapText="1"/>
    </xf>
    <xf numFmtId="0" fontId="7" fillId="10" borderId="7" applyAlignment="1" pivotButton="0" quotePrefix="0" xfId="0">
      <alignment horizontal="center" vertical="center" wrapText="1"/>
    </xf>
    <xf numFmtId="0" fontId="7" fillId="10" borderId="9" applyAlignment="1" pivotButton="0" quotePrefix="0" xfId="0">
      <alignment horizontal="center" vertical="center" wrapText="1"/>
    </xf>
    <xf numFmtId="0" fontId="8" fillId="0" borderId="0" pivotButton="0" quotePrefix="0" xfId="0"/>
    <xf numFmtId="0" fontId="8" fillId="0" borderId="0" applyAlignment="1" pivotButton="0" quotePrefix="0" xfId="0">
      <alignment horizontal="center"/>
    </xf>
    <xf numFmtId="0" fontId="8" fillId="0" borderId="0" applyAlignment="1" pivotButton="0" quotePrefix="0" xfId="0">
      <alignment horizontal="center" vertical="center"/>
    </xf>
    <xf numFmtId="0" fontId="0" fillId="11" borderId="0" pivotButton="0" quotePrefix="0" xfId="0"/>
    <xf numFmtId="0" fontId="9" fillId="11" borderId="0" pivotButton="0" quotePrefix="0" xfId="0"/>
    <xf numFmtId="0" fontId="9" fillId="11" borderId="0" applyAlignment="1" pivotButton="0" quotePrefix="0" xfId="0">
      <alignment horizontal="center"/>
    </xf>
    <xf numFmtId="0" fontId="0" fillId="12" borderId="0" pivotButton="0" quotePrefix="0" xfId="0"/>
    <xf numFmtId="0" fontId="10" fillId="12" borderId="0" pivotButton="0" quotePrefix="0" xfId="0"/>
    <xf numFmtId="0" fontId="10" fillId="12" borderId="0" applyAlignment="1" pivotButton="0" quotePrefix="0" xfId="0">
      <alignment wrapText="1"/>
    </xf>
    <xf numFmtId="0" fontId="10" fillId="12" borderId="0" applyAlignment="1" pivotButton="0" quotePrefix="0" xfId="0">
      <alignment vertical="top" wrapText="1"/>
    </xf>
    <xf numFmtId="0" fontId="9" fillId="11" borderId="2" applyAlignment="1" pivotButton="0" quotePrefix="0" xfId="0">
      <alignment horizontal="center"/>
    </xf>
    <xf numFmtId="0" fontId="10" fillId="12" borderId="6" applyAlignment="1" pivotButton="0" quotePrefix="0" xfId="0">
      <alignment vertical="top" wrapText="1"/>
    </xf>
    <xf numFmtId="0" fontId="10" fillId="12" borderId="3" applyAlignment="1" pivotButton="0" quotePrefix="0" xfId="0">
      <alignment vertical="top" wrapText="1"/>
    </xf>
    <xf numFmtId="0" fontId="9" fillId="11" borderId="7" applyAlignment="1" pivotButton="0" quotePrefix="0" xfId="0">
      <alignment horizontal="center"/>
    </xf>
    <xf numFmtId="0" fontId="10" fillId="12" borderId="8" applyAlignment="1" pivotButton="0" quotePrefix="0" xfId="0">
      <alignment vertical="top" wrapText="1"/>
    </xf>
    <xf numFmtId="0" fontId="10" fillId="12" borderId="9" applyAlignment="1" pivotButton="0" quotePrefix="0" xfId="0">
      <alignment vertical="top" wrapText="1"/>
    </xf>
    <xf numFmtId="0" fontId="9" fillId="11" borderId="4" applyAlignment="1" pivotButton="0" quotePrefix="0" xfId="0">
      <alignment horizontal="center"/>
    </xf>
    <xf numFmtId="0" fontId="10" fillId="12" borderId="10" applyAlignment="1" pivotButton="0" quotePrefix="0" xfId="0">
      <alignment vertical="top" wrapText="1"/>
    </xf>
    <xf numFmtId="0" fontId="10" fillId="12" borderId="5" applyAlignment="1" pivotButton="0" quotePrefix="0" xfId="0">
      <alignment vertical="top" wrapText="1"/>
    </xf>
    <xf numFmtId="0" fontId="10" fillId="12" borderId="2" applyAlignment="1" pivotButton="0" quotePrefix="0" xfId="0">
      <alignment vertical="top" wrapText="1"/>
    </xf>
    <xf numFmtId="0" fontId="10" fillId="12" borderId="7" applyAlignment="1" pivotButton="0" quotePrefix="0" xfId="0">
      <alignment vertical="top" wrapText="1"/>
    </xf>
    <xf numFmtId="0" fontId="10" fillId="12" borderId="4" applyAlignment="1" pivotButton="0" quotePrefix="0" xfId="0">
      <alignment vertical="top" wrapText="1"/>
    </xf>
    <xf numFmtId="0" fontId="10" fillId="11" borderId="2" applyAlignment="1" pivotButton="0" quotePrefix="0" xfId="0">
      <alignment vertical="top" wrapText="1"/>
    </xf>
    <xf numFmtId="0" fontId="10" fillId="11" borderId="7" applyAlignment="1" pivotButton="0" quotePrefix="0" xfId="0">
      <alignment vertical="top" wrapText="1"/>
    </xf>
    <xf numFmtId="0" fontId="10" fillId="11" borderId="4" applyAlignment="1" pivotButton="0" quotePrefix="0" xfId="0">
      <alignment vertical="top" wrapText="1"/>
    </xf>
    <xf numFmtId="0" fontId="11" fillId="11" borderId="2" applyAlignment="1" pivotButton="0" quotePrefix="0" xfId="0">
      <alignment vertical="top" wrapText="1"/>
    </xf>
    <xf numFmtId="0" fontId="11" fillId="11" borderId="7" applyAlignment="1" pivotButton="0" quotePrefix="0" xfId="0">
      <alignment vertical="top" wrapText="1"/>
    </xf>
    <xf numFmtId="0" fontId="11" fillId="11" borderId="4" applyAlignment="1" pivotButton="0" quotePrefix="0" xfId="0">
      <alignment vertical="top" wrapText="1"/>
    </xf>
    <xf numFmtId="0" fontId="10" fillId="9" borderId="3" applyAlignment="1" pivotButton="0" quotePrefix="0" xfId="0">
      <alignment vertical="top" wrapText="1"/>
    </xf>
    <xf numFmtId="0" fontId="10" fillId="9" borderId="9" applyAlignment="1" pivotButton="0" quotePrefix="0" xfId="0">
      <alignment vertical="top" wrapText="1"/>
    </xf>
    <xf numFmtId="0" fontId="10" fillId="9" borderId="5" applyAlignment="1" pivotButton="0" quotePrefix="0" xfId="0">
      <alignment vertical="top" wrapText="1"/>
    </xf>
    <xf numFmtId="0" fontId="6" fillId="9" borderId="3" applyAlignment="1" pivotButton="0" quotePrefix="0" xfId="0">
      <alignment vertical="top" wrapText="1"/>
    </xf>
    <xf numFmtId="0" fontId="6" fillId="9" borderId="9" applyAlignment="1" pivotButton="0" quotePrefix="0" xfId="0">
      <alignment vertical="top" wrapText="1"/>
    </xf>
    <xf numFmtId="0" fontId="6" fillId="9" borderId="5" applyAlignment="1" pivotButton="0" quotePrefix="0" xfId="0">
      <alignment vertical="top" wrapText="1"/>
    </xf>
    <xf numFmtId="0" fontId="6" fillId="9" borderId="3" applyAlignment="1" pivotButton="0" quotePrefix="0" xfId="0">
      <alignment horizontal="center" vertical="top" wrapText="1"/>
    </xf>
    <xf numFmtId="0" fontId="6" fillId="9" borderId="9" applyAlignment="1" pivotButton="0" quotePrefix="0" xfId="0">
      <alignment horizontal="center" vertical="top" wrapText="1"/>
    </xf>
    <xf numFmtId="0" fontId="6" fillId="9" borderId="5" applyAlignment="1" pivotButton="0" quotePrefix="0" xfId="0">
      <alignment horizontal="center" vertical="top" wrapText="1"/>
    </xf>
    <xf numFmtId="0" fontId="4" fillId="7" borderId="7" applyAlignment="1" pivotButton="0" quotePrefix="0" xfId="0">
      <alignment horizontal="center" vertical="center" wrapText="1"/>
    </xf>
    <xf numFmtId="0" fontId="4" fillId="7" borderId="9" applyAlignment="1" pivotButton="0" quotePrefix="0" xfId="0">
      <alignment horizontal="center" vertical="center" wrapText="1"/>
    </xf>
    <xf numFmtId="0" fontId="5" fillId="8" borderId="7" applyAlignment="1" pivotButton="0" quotePrefix="0" xfId="0">
      <alignment horizontal="center" vertical="center" wrapText="1"/>
    </xf>
    <xf numFmtId="0" fontId="5" fillId="8" borderId="9" applyAlignment="1" pivotButton="0" quotePrefix="0" xfId="0">
      <alignment horizontal="center" vertical="center" wrapText="1"/>
    </xf>
    <xf numFmtId="0" fontId="12" fillId="0" borderId="0" pivotButton="0" quotePrefix="0" xfId="0"/>
    <xf numFmtId="0" fontId="12" fillId="0" borderId="0" applyAlignment="1" pivotButton="0" quotePrefix="0" xfId="0">
      <alignment horizontal="center"/>
    </xf>
    <xf numFmtId="0" fontId="12" fillId="0" borderId="0" applyAlignment="1" pivotButton="0" quotePrefix="0" xfId="0">
      <alignment horizontal="center" vertical="center"/>
    </xf>
    <xf numFmtId="0" fontId="3" fillId="6" borderId="2" applyAlignment="1" pivotButton="0" quotePrefix="0" xfId="0">
      <alignment horizontal="center" vertical="center"/>
    </xf>
    <xf numFmtId="0" fontId="3" fillId="6" borderId="6" applyAlignment="1" pivotButton="0" quotePrefix="0" xfId="0">
      <alignment horizontal="center" vertical="center"/>
    </xf>
    <xf numFmtId="0" fontId="3" fillId="6" borderId="3" applyAlignment="1" pivotButton="0" quotePrefix="0" xfId="0">
      <alignment horizontal="center" vertical="center"/>
    </xf>
    <xf numFmtId="0" fontId="0" fillId="6" borderId="0" applyAlignment="1" pivotButton="0" quotePrefix="0" xfId="0">
      <alignment vertical="top"/>
    </xf>
    <xf numFmtId="0" fontId="3" fillId="6" borderId="0" applyAlignment="1" pivotButton="0" quotePrefix="0" xfId="0">
      <alignment vertical="top"/>
    </xf>
    <xf numFmtId="0" fontId="3" fillId="6" borderId="0" applyAlignment="1" pivotButton="0" quotePrefix="0" xfId="0">
      <alignment horizontal="center" vertical="top"/>
    </xf>
    <xf numFmtId="0" fontId="0" fillId="11" borderId="0" applyAlignment="1" pivotButton="0" quotePrefix="0" xfId="0">
      <alignment vertical="top"/>
    </xf>
    <xf numFmtId="0" fontId="11" fillId="11" borderId="0" applyAlignment="1" pivotButton="0" quotePrefix="0" xfId="0">
      <alignment vertical="top"/>
    </xf>
    <xf numFmtId="0" fontId="11" fillId="11" borderId="0" applyAlignment="1" pivotButton="0" quotePrefix="0" xfId="0">
      <alignment vertical="top" wrapText="1"/>
    </xf>
    <xf numFmtId="0" fontId="0" fillId="12" borderId="0" applyAlignment="1" pivotButton="0" quotePrefix="0" xfId="0">
      <alignment vertical="top"/>
    </xf>
    <xf numFmtId="0" fontId="10" fillId="12" borderId="0" applyAlignment="1" pivotButton="0" quotePrefix="0" xfId="0">
      <alignment vertical="top"/>
    </xf>
    <xf numFmtId="0" fontId="0" fillId="0" borderId="6" applyAlignment="1" pivotButton="0" quotePrefix="0" xfId="0">
      <alignment vertical="top"/>
    </xf>
    <xf numFmtId="0" fontId="0" fillId="0" borderId="3" applyAlignment="1" pivotButton="0" quotePrefix="0" xfId="0">
      <alignment vertical="top"/>
    </xf>
    <xf numFmtId="0" fontId="1" fillId="13" borderId="0" applyAlignment="1" pivotButton="0" quotePrefix="0" xfId="0">
      <alignment horizontal="left" vertical="top"/>
    </xf>
    <xf numFmtId="0" fontId="13" fillId="13" borderId="0" applyAlignment="1" pivotButton="0" quotePrefix="0" xfId="0">
      <alignment horizontal="left" vertical="top"/>
    </xf>
    <xf numFmtId="0" fontId="13" fillId="13" borderId="0" applyAlignment="1" pivotButton="0" quotePrefix="0" xfId="0">
      <alignment horizontal="center" vertical="top"/>
    </xf>
    <xf numFmtId="0" fontId="13" fillId="13" borderId="0" applyAlignment="1" pivotButton="0" quotePrefix="0" xfId="0">
      <alignment horizontal="center" vertical="center"/>
    </xf>
    <xf numFmtId="0" fontId="0" fillId="14" borderId="0" pivotButton="0" quotePrefix="0" xfId="0"/>
    <xf numFmtId="0" fontId="14" fillId="14" borderId="0" pivotButton="0" quotePrefix="0" xfId="0"/>
    <xf numFmtId="0" fontId="14" fillId="14" borderId="0" applyAlignment="1" pivotButton="0" quotePrefix="0" xfId="0">
      <alignment horizontal="center"/>
    </xf>
    <xf numFmtId="0" fontId="14" fillId="14" borderId="0" applyAlignment="1" pivotButton="0" quotePrefix="0" xfId="0">
      <alignment horizontal="center" vertical="center"/>
    </xf>
    <xf numFmtId="0" fontId="13" fillId="13" borderId="0" applyAlignment="1" pivotButton="0" quotePrefix="0" xfId="0">
      <alignment horizontal="center" vertical="center" wrapText="1"/>
    </xf>
    <xf numFmtId="0" fontId="0" fillId="13" borderId="0" pivotButton="0" quotePrefix="0" xfId="0"/>
    <xf numFmtId="0" fontId="13" fillId="13" borderId="0" pivotButton="0" quotePrefix="0" xfId="0"/>
    <xf numFmtId="0" fontId="13" fillId="13" borderId="0" applyAlignment="1" pivotButton="0" quotePrefix="0" xfId="0">
      <alignment horizontal="center"/>
    </xf>
    <xf numFmtId="0" fontId="0" fillId="15" borderId="0" pivotButton="0" quotePrefix="0" xfId="0"/>
    <xf numFmtId="0" fontId="15" fillId="15" borderId="0" pivotButton="0" quotePrefix="0" xfId="0"/>
    <xf numFmtId="0" fontId="15" fillId="15" borderId="0" applyAlignment="1" pivotButton="0" quotePrefix="0" xfId="0">
      <alignment horizontal="left"/>
    </xf>
    <xf numFmtId="0" fontId="15" fillId="15" borderId="0" applyAlignment="1" pivotButton="0" quotePrefix="0" xfId="0">
      <alignment horizontal="left" vertical="center"/>
    </xf>
    <xf numFmtId="0" fontId="14" fillId="14" borderId="0" applyAlignment="1" pivotButton="0" quotePrefix="0" xfId="0">
      <alignment wrapText="1"/>
    </xf>
    <xf numFmtId="0" fontId="0" fillId="16" borderId="0" pivotButton="0" quotePrefix="0" xfId="0"/>
    <xf numFmtId="0" fontId="16" fillId="16" borderId="0" pivotButton="0" quotePrefix="0" xfId="0"/>
    <xf numFmtId="0" fontId="16" fillId="16" borderId="0" applyAlignment="1" pivotButton="0" quotePrefix="0" xfId="0">
      <alignment horizontal="center"/>
    </xf>
    <xf numFmtId="0" fontId="16" fillId="16" borderId="0" applyAlignment="1" pivotButton="0" quotePrefix="0" xfId="0">
      <alignment horizontal="center" vertical="center"/>
    </xf>
    <xf numFmtId="0" fontId="0" fillId="17" borderId="0" pivotButton="0" quotePrefix="0" xfId="0"/>
    <xf numFmtId="0" fontId="3" fillId="17" borderId="0" pivotButton="0" quotePrefix="0" xfId="0"/>
    <xf numFmtId="0" fontId="3" fillId="17" borderId="0" applyAlignment="1" pivotButton="0" quotePrefix="0" xfId="0">
      <alignment horizontal="left"/>
    </xf>
    <xf numFmtId="0" fontId="3" fillId="17" borderId="0" applyAlignment="1" pivotButton="0" quotePrefix="0" xfId="0">
      <alignment horizontal="left" vertical="center"/>
    </xf>
    <xf numFmtId="0" fontId="0" fillId="18" borderId="0" pivotButton="0" quotePrefix="0" xfId="0"/>
    <xf numFmtId="0" fontId="17" fillId="18" borderId="0" pivotButton="0" quotePrefix="0" xfId="0"/>
    <xf numFmtId="0" fontId="17" fillId="18" borderId="0" applyAlignment="1" pivotButton="0" quotePrefix="0" xfId="0">
      <alignment wrapText="1"/>
    </xf>
    <xf numFmtId="0" fontId="17" fillId="18" borderId="0" applyAlignment="1" pivotButton="0" quotePrefix="0" xfId="0">
      <alignment horizontal="center" wrapText="1"/>
    </xf>
    <xf numFmtId="0" fontId="17" fillId="18" borderId="0" applyAlignment="1" pivotButton="0" quotePrefix="0" xfId="0">
      <alignment horizontal="center" vertical="center" wrapText="1"/>
    </xf>
    <xf numFmtId="0" fontId="0" fillId="19" borderId="0" pivotButton="0" quotePrefix="0" xfId="0"/>
    <xf numFmtId="0" fontId="18" fillId="19" borderId="0" pivotButton="0" quotePrefix="0" xfId="0"/>
    <xf numFmtId="0" fontId="18" fillId="19" borderId="0" applyAlignment="1" pivotButton="0" quotePrefix="0" xfId="0">
      <alignment wrapText="1"/>
    </xf>
    <xf numFmtId="0" fontId="18" fillId="19" borderId="0" applyAlignment="1" pivotButton="0" quotePrefix="0" xfId="0">
      <alignment vertical="top" wrapText="1"/>
    </xf>
    <xf numFmtId="0" fontId="0" fillId="20" borderId="0" applyAlignment="1" pivotButton="0" quotePrefix="0" xfId="0">
      <alignment vertical="top" wrapText="1"/>
    </xf>
    <xf numFmtId="0" fontId="9" fillId="20" borderId="0" applyAlignment="1" pivotButton="0" quotePrefix="0" xfId="0">
      <alignment vertical="top" wrapText="1"/>
    </xf>
    <xf numFmtId="0" fontId="1" fillId="16" borderId="0" applyAlignment="1" pivotButton="0" quotePrefix="0" xfId="0">
      <alignment horizontal="left" vertical="top"/>
    </xf>
    <xf numFmtId="0" fontId="0" fillId="16" borderId="0" applyAlignment="1" pivotButton="0" quotePrefix="0" xfId="0">
      <alignment vertical="top"/>
    </xf>
    <xf numFmtId="0" fontId="16" fillId="16" borderId="0" applyAlignment="1" pivotButton="0" quotePrefix="0" xfId="0">
      <alignment horizontal="left" vertical="top"/>
    </xf>
    <xf numFmtId="0" fontId="16" fillId="16" borderId="0" applyAlignment="1" pivotButton="0" quotePrefix="0" xfId="0">
      <alignment vertical="top"/>
    </xf>
    <xf numFmtId="0" fontId="16" fillId="16" borderId="0" applyAlignment="1" pivotButton="0" quotePrefix="0" xfId="0">
      <alignment horizontal="center" vertical="top"/>
    </xf>
    <xf numFmtId="0" fontId="3" fillId="18" borderId="0" applyAlignment="1" pivotButton="0" quotePrefix="0" xfId="0">
      <alignment horizontal="center" vertical="top" wrapText="1"/>
    </xf>
    <xf numFmtId="0" fontId="17" fillId="18" borderId="0" applyAlignment="1" pivotButton="0" quotePrefix="0" xfId="0">
      <alignment horizontal="center" vertical="top" wrapText="1"/>
    </xf>
    <xf numFmtId="0" fontId="0" fillId="17" borderId="0" applyAlignment="1" pivotButton="0" quotePrefix="0" xfId="0">
      <alignment vertical="top" wrapText="1"/>
    </xf>
    <xf numFmtId="0" fontId="3" fillId="17" borderId="0" applyAlignment="1" pivotButton="0" quotePrefix="0" xfId="0">
      <alignment vertical="top" wrapText="1"/>
    </xf>
    <xf numFmtId="0" fontId="3" fillId="17" borderId="0" applyAlignment="1" pivotButton="0" quotePrefix="0" xfId="0">
      <alignment horizontal="left" vertical="top" wrapText="1"/>
    </xf>
    <xf numFmtId="0" fontId="3" fillId="17" borderId="0" applyAlignment="1" pivotButton="0" quotePrefix="0" xfId="0">
      <alignment horizontal="left" vertical="center" wrapText="1"/>
    </xf>
    <xf numFmtId="0" fontId="13" fillId="13" borderId="0" applyAlignment="1" pivotButton="0" quotePrefix="0" xfId="0">
      <alignment horizontal="center" vertical="top" wrapText="1"/>
    </xf>
    <xf numFmtId="0" fontId="14" fillId="14" borderId="0" applyAlignment="1" pivotButton="0" quotePrefix="0" xfId="0">
      <alignment vertical="top" wrapText="1"/>
    </xf>
    <xf numFmtId="0" fontId="13" fillId="20" borderId="0" applyAlignment="1" pivotButton="0" quotePrefix="0" xfId="0">
      <alignment horizontal="center" vertical="top" wrapText="1"/>
    </xf>
    <xf numFmtId="0" fontId="14" fillId="20" borderId="0" applyAlignment="1" pivotButton="0" quotePrefix="0" xfId="0">
      <alignment vertical="top" wrapText="1"/>
    </xf>
    <xf numFmtId="0" fontId="0" fillId="17" borderId="0" applyAlignment="1" pivotButton="0" quotePrefix="0" xfId="0">
      <alignment vertical="top"/>
    </xf>
    <xf numFmtId="0" fontId="3" fillId="17" borderId="0" applyAlignment="1" pivotButton="0" quotePrefix="0" xfId="0">
      <alignment vertical="top"/>
    </xf>
    <xf numFmtId="0" fontId="3" fillId="17" borderId="0" applyAlignment="1" pivotButton="0" quotePrefix="0" xfId="0">
      <alignment horizontal="left" vertical="top"/>
    </xf>
    <xf numFmtId="0" fontId="0" fillId="18" borderId="0" applyAlignment="1" pivotButton="0" quotePrefix="0" xfId="0">
      <alignment vertical="top"/>
    </xf>
    <xf numFmtId="0" fontId="17" fillId="18" borderId="0" applyAlignment="1" pivotButton="0" quotePrefix="0" xfId="0">
      <alignment vertical="top"/>
    </xf>
    <xf numFmtId="0" fontId="17" fillId="18" borderId="0" applyAlignment="1" pivotButton="0" quotePrefix="0" xfId="0">
      <alignment vertical="top" wrapText="1"/>
    </xf>
    <xf numFmtId="0" fontId="16" fillId="16" borderId="0" applyAlignment="1" pivotButton="0" quotePrefix="0" xfId="0">
      <alignment horizontal="center" vertical="center" wrapText="1"/>
    </xf>
    <xf numFmtId="0" fontId="16" fillId="16" borderId="0" applyAlignment="1" pivotButton="0" quotePrefix="0" xfId="0">
      <alignment horizontal="center" vertical="top" wrapText="1"/>
    </xf>
    <xf numFmtId="0" fontId="1" fillId="2" borderId="0" applyAlignment="1" pivotButton="0" quotePrefix="0" xfId="0">
      <alignment horizontal="left" vertical="top" wrapText="1"/>
    </xf>
    <xf numFmtId="9" fontId="0" fillId="0" borderId="0" applyAlignment="1" pivotButton="0" quotePrefix="0" xfId="0">
      <alignment vertical="top" wrapText="1"/>
    </xf>
    <xf numFmtId="0" fontId="17" fillId="3" borderId="0" pivotButton="0" quotePrefix="0" xfId="0"/>
    <xf numFmtId="0" fontId="17" fillId="3" borderId="0" applyAlignment="1" pivotButton="0" quotePrefix="0" xfId="0">
      <alignment wrapText="1"/>
    </xf>
    <xf numFmtId="0" fontId="17" fillId="3" borderId="0" applyAlignment="1" pivotButton="0" quotePrefix="0" xfId="0">
      <alignment horizontal="center" wrapText="1"/>
    </xf>
    <xf numFmtId="0" fontId="17" fillId="3" borderId="0" applyAlignment="1" pivotButton="0" quotePrefix="0" xfId="0">
      <alignment horizontal="center" vertical="center" wrapText="1"/>
    </xf>
    <xf numFmtId="0" fontId="3" fillId="3" borderId="0" applyAlignment="1" pivotButton="0" quotePrefix="0" xfId="0">
      <alignment horizontal="center" vertical="top" wrapText="1"/>
    </xf>
    <xf numFmtId="0" fontId="17" fillId="3" borderId="0" applyAlignment="1" pivotButton="0" quotePrefix="0" xfId="0">
      <alignment horizontal="center" vertical="top" wrapText="1"/>
    </xf>
    <xf numFmtId="0" fontId="0" fillId="3" borderId="0" applyAlignment="1" pivotButton="0" quotePrefix="0" xfId="0">
      <alignment vertical="top"/>
    </xf>
    <xf numFmtId="0" fontId="17" fillId="3" borderId="0" applyAlignment="1" pivotButton="0" quotePrefix="0" xfId="0">
      <alignment vertical="top"/>
    </xf>
    <xf numFmtId="0" fontId="17" fillId="3" borderId="0" applyAlignment="1" pivotButton="0" quotePrefix="0" xfId="0">
      <alignment vertical="top" wrapText="1"/>
    </xf>
    <xf numFmtId="0" fontId="16" fillId="21" borderId="0" applyAlignment="1" pivotButton="0" quotePrefix="0" xfId="0">
      <alignment horizontal="center" vertical="top" wrapText="1"/>
    </xf>
    <xf numFmtId="0" fontId="16" fillId="21" borderId="0" applyAlignment="1" pivotButton="0" quotePrefix="0" xfId="0">
      <alignment horizontal="left" vertical="top" wrapText="1"/>
    </xf>
    <xf numFmtId="0" fontId="16" fillId="21" borderId="0" applyAlignment="1" pivotButton="0" quotePrefix="0" xfId="0">
      <alignment horizontal="left" vertical="center" wrapText="1"/>
    </xf>
    <xf numFmtId="0" fontId="2" fillId="22" borderId="0" applyAlignment="1" pivotButton="0" quotePrefix="0" xfId="0">
      <alignment horizontal="center" vertical="top" wrapText="1"/>
    </xf>
    <xf numFmtId="0" fontId="0" fillId="22" borderId="0" applyAlignment="1" pivotButton="0" quotePrefix="0" xfId="0">
      <alignment vertical="top" wrapText="1"/>
    </xf>
    <xf numFmtId="0" fontId="2" fillId="22" borderId="0" applyAlignment="1" pivotButton="0" quotePrefix="0" xfId="0">
      <alignment vertical="top" wrapText="1"/>
    </xf>
    <xf numFmtId="0" fontId="2" fillId="22" borderId="0" applyAlignment="1" pivotButton="0" quotePrefix="0" xfId="0">
      <alignment horizontal="center" vertical="center" wrapText="1"/>
    </xf>
    <xf numFmtId="0" fontId="0" fillId="23" borderId="0" applyAlignment="1" pivotButton="0" quotePrefix="0" xfId="0">
      <alignment vertical="top" wrapText="1"/>
    </xf>
    <xf numFmtId="0" fontId="3" fillId="23" borderId="0" applyAlignment="1" pivotButton="0" quotePrefix="0" xfId="0">
      <alignment vertical="top" wrapText="1"/>
    </xf>
    <xf numFmtId="0" fontId="3" fillId="23" borderId="0" applyAlignment="1" pivotButton="0" quotePrefix="0" xfId="0">
      <alignment horizontal="center" vertical="top" wrapText="1"/>
    </xf>
    <xf numFmtId="0" fontId="3" fillId="23" borderId="0" applyAlignment="1" pivotButton="0" quotePrefix="0" xfId="0">
      <alignment horizontal="center" vertical="center" wrapText="1"/>
    </xf>
    <xf numFmtId="0" fontId="0" fillId="21" borderId="0" pivotButton="0" quotePrefix="0" xfId="0"/>
    <xf numFmtId="0" fontId="16" fillId="21" borderId="0" pivotButton="0" quotePrefix="0" xfId="0"/>
    <xf numFmtId="0" fontId="16" fillId="21" borderId="0" applyAlignment="1" pivotButton="0" quotePrefix="0" xfId="0">
      <alignment horizontal="left"/>
    </xf>
    <xf numFmtId="0" fontId="16" fillId="21" borderId="0" applyAlignment="1" pivotButton="0" quotePrefix="0" xfId="0">
      <alignment horizontal="left" vertical="center"/>
    </xf>
    <xf numFmtId="0" fontId="0" fillId="23" borderId="0" pivotButton="0" quotePrefix="0" xfId="0"/>
    <xf numFmtId="0" fontId="3" fillId="23" borderId="0" pivotButton="0" quotePrefix="0" xfId="0"/>
    <xf numFmtId="0" fontId="3" fillId="23" borderId="0" applyAlignment="1" pivotButton="0" quotePrefix="0" xfId="0">
      <alignment wrapText="1"/>
    </xf>
    <xf numFmtId="0" fontId="3" fillId="23" borderId="0" applyAlignment="1" pivotButton="0" quotePrefix="0" xfId="0">
      <alignment horizontal="center" wrapText="1"/>
    </xf>
    <xf numFmtId="0" fontId="17" fillId="23" borderId="0" applyAlignment="1" pivotButton="0" quotePrefix="0" xfId="0">
      <alignment horizontal="center" vertical="top" wrapText="1"/>
    </xf>
    <xf numFmtId="0" fontId="0" fillId="21" borderId="0" applyAlignment="1" pivotButton="0" quotePrefix="0" xfId="0">
      <alignment vertical="top"/>
    </xf>
    <xf numFmtId="0" fontId="16" fillId="21" borderId="0" applyAlignment="1" pivotButton="0" quotePrefix="0" xfId="0">
      <alignment vertical="top"/>
    </xf>
    <xf numFmtId="0" fontId="16" fillId="21" borderId="0" applyAlignment="1" pivotButton="0" quotePrefix="0" xfId="0">
      <alignment horizontal="left" vertical="top"/>
    </xf>
    <xf numFmtId="0" fontId="0" fillId="23" borderId="0" applyAlignment="1" pivotButton="0" quotePrefix="0" xfId="0">
      <alignment vertical="top"/>
    </xf>
    <xf numFmtId="0" fontId="3" fillId="23"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1" fillId="2" borderId="1" applyAlignment="1" pivotButton="0" quotePrefix="0" xfId="0">
      <alignment horizontal="left" vertical="top" wrapText="1"/>
    </xf>
    <xf numFmtId="9" fontId="0" fillId="0" borderId="0" applyAlignment="1" pivotButton="0" quotePrefix="0" xfId="0">
      <alignment vertical="top" wrapText="1"/>
    </xf>
    <xf numFmtId="0" fontId="0" fillId="25" borderId="0" applyAlignment="1" pivotButton="0" quotePrefix="0" xfId="0">
      <alignment vertical="top" wrapText="1"/>
    </xf>
    <xf numFmtId="0" fontId="3" fillId="17" borderId="1" applyAlignment="1" pivotButton="0" quotePrefix="0" xfId="0">
      <alignment horizontal="left" vertical="top" wrapText="1"/>
    </xf>
    <xf numFmtId="0" fontId="13" fillId="20" borderId="1" applyAlignment="1" pivotButton="0" quotePrefix="0" xfId="0">
      <alignment horizontal="center" vertical="top" wrapText="1"/>
    </xf>
    <xf numFmtId="0" fontId="14" fillId="20" borderId="1" applyAlignment="1" pivotButton="0" quotePrefix="0" xfId="0">
      <alignment vertical="top" wrapText="1"/>
    </xf>
    <xf numFmtId="0" fontId="16" fillId="21" borderId="1" applyAlignment="1" pivotButton="0" quotePrefix="0" xfId="0">
      <alignment horizontal="left" vertical="center" wrapText="1"/>
    </xf>
    <xf numFmtId="164" fontId="0" fillId="0" borderId="0" applyAlignment="1" pivotButton="0" quotePrefix="0" xfId="0">
      <alignment vertical="top" wrapText="1"/>
    </xf>
    <xf numFmtId="0" fontId="13" fillId="13" borderId="1" applyAlignment="1" pivotButton="0" quotePrefix="0" xfId="0">
      <alignment horizontal="center" vertical="center" wrapText="1"/>
    </xf>
    <xf numFmtId="0" fontId="16" fillId="16" borderId="1" applyAlignment="1" pivotButton="0" quotePrefix="0" xfId="0">
      <alignment horizontal="center" vertical="center"/>
    </xf>
    <xf numFmtId="0" fontId="0" fillId="24" borderId="0" applyAlignment="1" pivotButton="0" quotePrefix="0" xfId="0">
      <alignment vertical="top" wrapText="1"/>
    </xf>
    <xf numFmtId="0" fontId="19" fillId="24" borderId="0" applyAlignment="1" pivotButton="0" quotePrefix="0" xfId="0">
      <alignment vertical="top" wrapText="1"/>
    </xf>
    <xf numFmtId="0" fontId="13" fillId="13" borderId="1" applyAlignment="1" pivotButton="0" quotePrefix="0" xfId="0">
      <alignment horizontal="center" vertical="center"/>
    </xf>
    <xf numFmtId="0" fontId="15" fillId="15" borderId="1" applyAlignment="1" pivotButton="0" quotePrefix="0" xfId="0">
      <alignment horizontal="left" vertical="center"/>
    </xf>
    <xf numFmtId="0" fontId="16" fillId="21" borderId="1" applyAlignment="1" pivotButton="0" quotePrefix="0" xfId="0">
      <alignment horizontal="left" vertical="top" wrapText="1"/>
    </xf>
    <xf numFmtId="0" fontId="18" fillId="19" borderId="1" applyAlignment="1" pivotButton="0" quotePrefix="0" xfId="0">
      <alignment vertical="top" wrapText="1"/>
    </xf>
    <xf numFmtId="0" fontId="0" fillId="24" borderId="1" applyAlignment="1" pivotButton="0" quotePrefix="0" xfId="0">
      <alignment vertical="top" wrapText="1"/>
    </xf>
    <xf numFmtId="0" fontId="19" fillId="24" borderId="1"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22" fillId="23" borderId="11" applyAlignment="1" pivotButton="0" quotePrefix="0" xfId="0">
      <alignment vertical="top" wrapText="1"/>
    </xf>
    <xf numFmtId="0" fontId="0" fillId="0" borderId="11" applyAlignment="1" pivotButton="0" quotePrefix="0" xfId="0">
      <alignment vertical="top" wrapText="1"/>
    </xf>
    <xf numFmtId="0" fontId="0" fillId="25" borderId="1"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12573000" cy="8382000"/>
    <pic>
      <nvPicPr>
        <cNvPr id="1" name="/xl/media/image.png"/>
        <cNvPicPr>
          <a:picLocks noChangeAspect="1"/>
        </cNvPicPr>
      </nvPicPr>
      <blipFill>
        <a:blip r:embed="rId1"/>
        <a:stretch>
          <a:fillRect/>
        </a:stretch>
      </blipFill>
      <spPr>
        <a:prstGeom prst="rect"/>
        <a:ln>
          <a:prstDash val="solid"/>
        </a:ln>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12573000" cy="8382000"/>
    <pic>
      <nvPicPr>
        <cNvPr id="1" name="/xl/media/image2.png"/>
        <cNvPicPr>
          <a:picLocks noChangeAspect="1"/>
        </cNvPicPr>
      </nvPicPr>
      <blipFill>
        <a:blip r:embed="rId1"/>
        <a:stretch>
          <a:fillRect/>
        </a:stretch>
      </blipFill>
      <spPr>
        <a:prstGeom prst="rect"/>
        <a:ln>
          <a:prstDash val="solid"/>
        </a:ln>
      </spPr>
    </pic>
    <clientData/>
  </oneCellAnchor>
</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6.xml.rels><Relationships xmlns="http://schemas.openxmlformats.org/package/2006/relationships"><Relationship Type="http://schemas.openxmlformats.org/officeDocument/2006/relationships/drawing" Target="/xl/drawings/drawing1.xml" Id="rId1" /></Relationships>
</file>

<file path=xl/worksheets/_rels/sheet17.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42" customWidth="1" style="51" min="2" max="2"/>
    <col width="42" customWidth="1" style="51" min="3" max="3"/>
    <col width="18" customWidth="1" style="51" min="4" max="4"/>
    <col width="18" customWidth="1" style="51" min="5" max="5"/>
    <col width="18" customWidth="1" style="51" min="6" max="6"/>
    <col width="22" customWidth="1" style="51" min="7" max="7"/>
    <col width="30" customWidth="1" style="51" min="8" max="8"/>
    <col width="18" customWidth="1" style="51" min="9" max="9"/>
    <col width="18" customWidth="1" style="51" min="10" max="10"/>
    <col width="18" customWidth="1" style="51" min="11" max="11"/>
    <col width="18" customWidth="1" style="51" min="12" max="12"/>
  </cols>
  <sheetData>
    <row r="1">
      <c r="A1" s="259" t="inlineStr">
        <is>
          <t>MANET Emergency Messaging Prototype - Dashboard</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0" t="inlineStr">
        <is>
          <t>Total Steps</t>
        </is>
      </c>
      <c r="B3" s="258">
        <f>COUNTA('Detailed Steps'!A2:A200)</f>
        <v/>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40" t="inlineStr">
        <is>
          <t>Done</t>
        </is>
      </c>
      <c r="B4" s="258">
        <f>COUNTIF('Detailed Steps'!F2:F200,"Done")</f>
        <v/>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40" t="inlineStr">
        <is>
          <t>In Progress</t>
        </is>
      </c>
      <c r="B5" s="258">
        <f>COUNTIF('Detailed Steps'!F2:F200,"In Progress")</f>
        <v/>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40" t="inlineStr">
        <is>
          <t>Blocked</t>
        </is>
      </c>
      <c r="B6" s="258">
        <f>COUNTIF('Detailed Steps'!F2:F200,"Blocked")</f>
        <v/>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40" t="inlineStr">
        <is>
          <t>Not Started</t>
        </is>
      </c>
      <c r="B7" s="258">
        <f>COUNTIF('Detailed Steps'!F2:F200,"Not Started")</f>
        <v/>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40" t="inlineStr">
        <is>
          <t>Completion</t>
        </is>
      </c>
      <c r="B8" s="260" t="inlineStr">
        <is>
          <t>STEP046A Controlled Multi-Hop Lab Mode implementation approved; local ESP32 build validation PASS. STEP045B remains latest physical PASS.</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40" t="inlineStr">
        <is>
          <t>Current Stage</t>
        </is>
      </c>
      <c r="B9" s="258" t="inlineStr">
        <is>
          <t>STEP046A - implementation/build PASS. Lab mode can force nodeA1/nodeA2 messages through gatewayA/gatewayB when TEST_FORCE_GATEWAY_ROUTE=1.</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40" t="inlineStr">
        <is>
          <t>Next Action</t>
        </is>
      </c>
      <c r="B10" s="258" t="inlineStr">
        <is>
          <t>Next action: perform STEP046A physical lab-mode validation with TEST_FORCE_GATEWAY_ROUTE=1; do not start STEP042C/D unless explicitly routed.</t>
        </is>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46" t="inlineStr">
        <is>
          <t>Recommended Current Architecture</t>
        </is>
      </c>
      <c r="B12" s="1" t="n"/>
      <c r="C12" s="1" t="n"/>
      <c r="D12" s="1" t="n"/>
      <c r="E12" s="1" t="n"/>
      <c r="F12" s="1" t="n"/>
      <c r="G12" s="1" t="n"/>
      <c r="H12" s="1"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42" t="inlineStr">
        <is>
          <t>Layer</t>
        </is>
      </c>
      <c r="B13" s="42" t="inlineStr">
        <is>
          <t>Recommended Implementation</t>
        </is>
      </c>
      <c r="C13" s="42" t="inlineStr">
        <is>
          <t>Reason</t>
        </is>
      </c>
      <c r="D13" s="42" t="inlineStr">
        <is>
          <t>Status</t>
        </is>
      </c>
      <c r="E13" s="42" t="inlineStr">
        <is>
          <t>Owner</t>
        </is>
      </c>
      <c r="F13" s="42" t="inlineStr">
        <is>
          <t>Date</t>
        </is>
      </c>
      <c r="G13" s="42" t="inlineStr">
        <is>
          <t>Evidence</t>
        </is>
      </c>
      <c r="H13" s="42" t="inlineStr">
        <is>
          <t>Notes</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inlineStr">
        <is>
          <t>User App</t>
        </is>
      </c>
      <c r="B14" s="258" t="inlineStr">
        <is>
          <t>Android app demo APK with Bluetooth-to-ESP32 typed-message flow</t>
        </is>
      </c>
      <c r="C14" s="258" t="inlineStr">
        <is>
          <t>Supports current client demo without adding future GSM/broadcast scope</t>
        </is>
      </c>
      <c r="D14" s="258" t="inlineStr">
        <is>
          <t>STEP037 Multi-Hop Foundation Pass</t>
        </is>
      </c>
      <c r="E14" s="258" t="inlineStr">
        <is>
          <t>Codex/User</t>
        </is>
      </c>
      <c r="F14" s="258" t="inlineStr">
        <is>
          <t>2026-05-22</t>
        </is>
      </c>
      <c r="G14" s="258" t="inlineStr">
        <is>
          <t>2-node Chat LoRa path still works bidirectionally; multi-hop fields hopCount/ttl/previousHop active.</t>
        </is>
      </c>
      <c r="H14" s="258" t="inlineStr">
        <is>
          <t>STEP035-038 preserved as PASS; STEP039 architecture finalized.</t>
        </is>
      </c>
      <c r="I14" s="258" t="n"/>
      <c r="J14" s="258" t="n"/>
      <c r="K14" s="258" t="n"/>
      <c r="L14" s="258" t="n"/>
      <c r="M14" s="258" t="n"/>
      <c r="N14" s="258" t="n"/>
      <c r="O14" s="258" t="n"/>
      <c r="P14" s="258" t="n"/>
      <c r="Q14" s="258" t="n"/>
      <c r="R14" s="258" t="n"/>
      <c r="S14" s="258" t="n"/>
      <c r="T14" s="258" t="n"/>
      <c r="U14" s="258" t="n"/>
      <c r="V14" s="258" t="n"/>
      <c r="W14" s="258" t="n"/>
      <c r="X14" s="258" t="n"/>
      <c r="Y14" s="258" t="n"/>
      <c r="Z14" s="258" t="n"/>
    </row>
    <row r="15" s="51">
      <c r="A15" s="282" t="inlineStr">
        <is>
          <t>Gateway</t>
        </is>
      </c>
      <c r="B15" s="282" t="inlineStr">
        <is>
          <t>Raspberry Pi 3B gateway with LoRa module and primary internet/Tailscale backhaul</t>
        </is>
      </c>
      <c r="C15" s="282" t="inlineStr">
        <is>
          <t>Gateway-to-gateway encrypted internet tunnel is operational over Tailscale; ESP32 serial bridge integration remains next</t>
        </is>
      </c>
      <c r="D15" s="282" t="inlineStr">
        <is>
          <t>STEP040B TCP Relay Pass</t>
        </is>
      </c>
      <c r="E15" s="282" t="inlineStr">
        <is>
          <t>User + Codex</t>
        </is>
      </c>
      <c r="F15" s="282" t="inlineStr">
        <is>
          <t>2026-05-24</t>
        </is>
      </c>
      <c r="G15" s="282" t="inlineStr">
        <is>
          <t>pup-gateway-a 100.123.79.41 -&gt; Tailscale TCP 5050 -&gt; pup-gateway-b 100.79.214.18; ACK and heartbeat worked.</t>
        </is>
      </c>
      <c r="H15" s="282" t="inlineStr">
        <is>
          <t>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t>
        </is>
      </c>
      <c r="I15" s="49" t="n"/>
      <c r="J15" s="49" t="n"/>
      <c r="K15" s="49" t="n"/>
      <c r="L15" s="49" t="n"/>
      <c r="M15" s="49" t="n"/>
      <c r="N15" s="49" t="n"/>
      <c r="O15" s="49" t="n"/>
      <c r="P15" s="49" t="n"/>
      <c r="Q15" s="49" t="n"/>
      <c r="R15" s="49" t="n"/>
      <c r="S15" s="49" t="n"/>
      <c r="T15" s="49" t="n"/>
      <c r="U15" s="49" t="n"/>
      <c r="V15" s="49" t="n"/>
      <c r="W15" s="49" t="n"/>
      <c r="X15" s="49" t="n"/>
      <c r="Y15" s="49" t="n"/>
      <c r="Z15" s="49" t="n"/>
    </row>
    <row r="16">
      <c r="A16" s="258" t="inlineStr">
        <is>
          <t>MANET Node</t>
        </is>
      </c>
      <c r="B16" s="258" t="inlineStr">
        <is>
          <t>ESP32 + SX1278 Ra-02 433 MHz</t>
        </is>
      </c>
      <c r="C16" s="258" t="inlineStr">
        <is>
          <t>Available hardware; good for prototype</t>
        </is>
      </c>
      <c r="D16" s="258" t="inlineStr">
        <is>
          <t>Multi-Hop Foundation Active</t>
        </is>
      </c>
      <c r="E16" s="258" t="inlineStr">
        <is>
          <t>User + Codex</t>
        </is>
      </c>
      <c r="F16" s="258" t="inlineStr">
        <is>
          <t>2026-05-22</t>
        </is>
      </c>
      <c r="G16" s="258" t="inlineStr">
        <is>
          <t>Logs include [ROUTE_DECISION] deliver_local with BT/LoRa TX/RX chain intact.</t>
        </is>
      </c>
      <c r="H16" s="258" t="inlineStr">
        <is>
          <t>Commit f7e2501; no STEP035/036 regression.</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s="51">
      <c r="A17" s="49" t="inlineStr">
        <is>
          <t>Gateway Backhaul</t>
        </is>
      </c>
      <c r="B17" s="49" t="inlineStr">
        <is>
          <t>Raspberry Pi 3B Gateway A &lt;-&gt; Tailscale VPN Tunnel over Internet &lt;-&gt; Raspberry Pi 3B Gateway B</t>
        </is>
      </c>
      <c r="C17" s="49" t="inlineStr">
        <is>
          <t>Primary encrypted Tailscale TCP relay validated; old WiFi router-to-router simulated satellite link remains removed</t>
        </is>
      </c>
      <c r="D17" s="49" t="inlineStr">
        <is>
          <t>STEP040B Tailscale TCP Relay Pass</t>
        </is>
      </c>
      <c r="E17" s="49" t="inlineStr">
        <is>
          <t>User + Codex</t>
        </is>
      </c>
      <c r="F17" s="49" t="inlineStr">
        <is>
          <t>2026-05-24</t>
        </is>
      </c>
      <c r="G17" s="49" t="inlineStr">
        <is>
          <t>Priority 1: Local LoRa MANET; Priority 2: Tailscale VPN gateway tunnel; Priority 3: Long-range LoRa gateway backup; Priority 4: GSM/cellular optional fallback.</t>
        </is>
      </c>
      <c r="H17" s="49" t="inlineStr">
        <is>
          <t>Next: STEP041 USB serial bridge between ESP32 gateway node and Raspberry Pi gateway service; LoRa gateway backup and GSM remain future fallback paths.</t>
        </is>
      </c>
      <c r="I17" s="49" t="n"/>
      <c r="J17" s="49" t="n"/>
      <c r="K17" s="49" t="n"/>
      <c r="L17" s="49" t="n"/>
      <c r="M17" s="49" t="n"/>
      <c r="N17" s="49" t="n"/>
      <c r="O17" s="49" t="n"/>
      <c r="P17" s="49" t="n"/>
      <c r="Q17" s="49" t="n"/>
      <c r="R17" s="49" t="n"/>
      <c r="S17" s="49" t="n"/>
      <c r="T17" s="49" t="n"/>
      <c r="U17" s="49" t="n"/>
      <c r="V17" s="49" t="n"/>
      <c r="W17" s="49" t="n"/>
      <c r="X17" s="49" t="n"/>
      <c r="Y17" s="49" t="n"/>
      <c r="Z17" s="49" t="n"/>
    </row>
    <row r="18">
      <c r="A18" s="262" t="inlineStr">
        <is>
          <t>CURRENT DEVELOPMENT WORKFLOW UPDATE</t>
        </is>
      </c>
      <c r="B18" s="1" t="n"/>
      <c r="C18" s="1" t="n"/>
      <c r="D18" s="1" t="n"/>
      <c r="E18" s="1" t="n"/>
      <c r="F18" s="1" t="n"/>
      <c r="G18" s="1" t="n"/>
      <c r="H18" s="1"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197" t="inlineStr">
        <is>
          <t>Workflow</t>
        </is>
      </c>
      <c r="B19" s="258" t="inlineStr">
        <is>
          <t>Codex + GitHub + Workbook tracking</t>
        </is>
      </c>
      <c r="C19" s="258" t="str"/>
      <c r="D19" s="258" t="str"/>
      <c r="E19" s="197" t="inlineStr">
        <is>
          <t>Active Constraint</t>
        </is>
      </c>
      <c r="F19" s="258" t="inlineStr">
        <is>
          <t>One workbook step per Codex task</t>
        </is>
      </c>
      <c r="G19" s="258" t="str"/>
      <c r="H19" s="258" t="str"/>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63" t="inlineStr">
        <is>
          <t>Local Tool</t>
        </is>
      </c>
      <c r="B20" s="1" t="n"/>
      <c r="C20" s="1" t="n"/>
      <c r="D20" s="1" t="n"/>
      <c r="E20" s="1" t="n"/>
      <c r="F20" s="1" t="n"/>
      <c r="G20" s="1" t="n"/>
      <c r="H20" s="1"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64" t="inlineStr">
        <is>
          <t>Current Architecture: Android real-network UI cleanup complete; compact BT1 discovery/routing preserved; STEP046A controlled multi-hop lab mode build validated.</t>
        </is>
      </c>
      <c r="B21" s="1" t="n"/>
      <c r="C21" s="1" t="n"/>
      <c r="D21" s="1" t="n"/>
      <c r="E21" s="1" t="n"/>
      <c r="F21" s="1" t="n"/>
      <c r="G21" s="1" t="n"/>
      <c r="H21" s="1"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1" t="n"/>
      <c r="B22" s="1" t="n"/>
      <c r="C22" s="1" t="n"/>
      <c r="D22" s="1" t="n"/>
      <c r="E22" s="1" t="n"/>
      <c r="F22" s="1" t="n"/>
      <c r="G22" s="1" t="n"/>
      <c r="H22" s="1"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197" t="inlineStr">
        <is>
          <t>Workbook Rule</t>
        </is>
      </c>
      <c r="B23" s="258" t="inlineStr">
        <is>
          <t>Update this workbook and commit it after every completed step</t>
        </is>
      </c>
      <c r="C23" s="258" t="str"/>
      <c r="D23" s="258" t="str"/>
      <c r="E23" s="197" t="inlineStr">
        <is>
          <t>Status</t>
        </is>
      </c>
      <c r="F23" s="258" t="inlineStr">
        <is>
          <t>STEP042A fix built; physical acceptance pending</t>
        </is>
      </c>
      <c r="G23" s="258" t="inlineStr">
        <is>
          <t>STEP041 PASS; 8.2 Degradation Test next</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42" t="inlineStr">
        <is>
          <t>Workflow Update</t>
        </is>
      </c>
      <c r="B25" s="242" t="inlineStr">
        <is>
          <t>Primary Tool</t>
        </is>
      </c>
      <c r="C25" s="242" t="inlineStr">
        <is>
          <t>Secondary Tool</t>
        </is>
      </c>
      <c r="D25" s="242" t="inlineStr">
        <is>
          <t>Code Source</t>
        </is>
      </c>
      <c r="E25" s="242" t="inlineStr">
        <is>
          <t>Tracker</t>
        </is>
      </c>
      <c r="F25" s="242" t="inlineStr">
        <is>
          <t>VS Code Role</t>
        </is>
      </c>
      <c r="G25" s="242" t="inlineStr">
        <is>
          <t>Next Step</t>
        </is>
      </c>
      <c r="H25" s="242" t="inlineStr">
        <is>
          <t>Status</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2026-05-05</t>
        </is>
      </c>
      <c r="B26" s="258" t="inlineStr">
        <is>
          <t>Codex Web</t>
        </is>
      </c>
      <c r="C26" s="258" t="inlineStr">
        <is>
          <t>Codex CLI on Mac</t>
        </is>
      </c>
      <c r="D26" s="258" t="inlineStr">
        <is>
          <t>GitHub</t>
        </is>
      </c>
      <c r="E26" s="258" t="inlineStr">
        <is>
          <t>Workbook</t>
        </is>
      </c>
      <c r="F26" s="258" t="inlineStr">
        <is>
          <t>Optional only</t>
        </is>
      </c>
      <c r="G26" s="258" t="inlineStr">
        <is>
          <t>Create GitHub repo baseline</t>
        </is>
      </c>
      <c r="H26" s="258" t="inlineStr">
        <is>
          <t>Ready</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5">
    <mergeCell ref="A12:H12"/>
    <mergeCell ref="A18:H18"/>
    <mergeCell ref="A20:H20"/>
    <mergeCell ref="A1:H1"/>
    <mergeCell ref="A21:H2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Z201"/>
  <sheetViews>
    <sheetView workbookViewId="0">
      <selection activeCell="A1" sqref="A1"/>
    </sheetView>
  </sheetViews>
  <sheetFormatPr baseColWidth="8" defaultRowHeight="15"/>
  <cols>
    <col width="28" customWidth="1" style="51" min="1" max="1"/>
    <col width="80" customWidth="1" style="51" min="2" max="2"/>
  </cols>
  <sheetData>
    <row r="1">
      <c r="A1" s="265" t="inlineStr">
        <is>
          <t>PUP MANET Emergency Messaging Workbook</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238" t="inlineStr">
        <is>
          <t>Primary development workflow</t>
        </is>
      </c>
      <c r="B3" s="258" t="inlineStr">
        <is>
          <t>Codex Web + GitHub pull requests. VS Code is optional and no longer required for the main workflow.</t>
        </is>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238" t="inlineStr">
        <is>
          <t>Local development workflow</t>
        </is>
      </c>
      <c r="B4" s="258" t="inlineStr">
        <is>
          <t>Codex CLI on MacBook Pro M1 Max for local review, repo edits, build checks, and troubleshooting.</t>
        </is>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238" t="inlineStr">
        <is>
          <t>Repository source of truth</t>
        </is>
      </c>
      <c r="B5" s="258" t="inlineStr">
        <is>
          <t>GitHub repository: pup-manet-emergency-messaging</t>
        </is>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238" t="inlineStr">
        <is>
          <t>Workbook source of truth</t>
        </is>
      </c>
      <c r="B6" s="258" t="inlineStr">
        <is>
          <t>This workbook remains the project tracker. It must be updated after each completed Codex task and hardware validation step.</t>
        </is>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238" t="inlineStr">
        <is>
          <t>Development order</t>
        </is>
      </c>
      <c r="B7" s="258" t="inlineStr">
        <is>
          <t>Development order: ESP32 PlatformIO simulation -&gt; ESP32 LoRa/Bluetooth -&gt; Stable STEP038 baseline firmware -&gt; Raspberry Pi gateway simulation -&gt; Raspberry Pi internet/Tailscale VPN primary backhaul -&gt; STEP040B TCP relay validation -&gt; ESP32-to-Raspberry Pi serial bridge -&gt; long-range LoRa backup backhaul -&gt; Android messaging app -&gt; integrated testing.</t>
        </is>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238" t="inlineStr">
        <is>
          <t>Test priority</t>
        </is>
      </c>
      <c r="B8" s="258" t="inlineStr">
        <is>
          <t>All implementation must satisfy DOCX test procedures first: baseline, degradation detection, failover, sustained operation, and recovery.</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238" t="inlineStr">
        <is>
          <t>Hardware testing note</t>
        </is>
      </c>
      <c r="B9" s="258" t="inlineStr">
        <is>
          <t>Codex can create and test code logic, but physical LoRa, Bluetooth, Raspberry Pi Ethernet/WiFi internet, Tailscale VPN tunnel, LoRa gateway backup, and GSM validation must be performed by the user and recorded in this workbook. STEP040B Tailscale ping/TCP relay validation is now recorded as PASS.</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238" t="inlineStr">
        <is>
          <t>Update date</t>
        </is>
      </c>
      <c r="B10" s="266" t="n">
        <v>46147</v>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35" t="inlineStr">
        <is>
          <t>Current workflow decision</t>
        </is>
      </c>
      <c r="B11" s="258" t="inlineStr">
        <is>
          <t>Current workflow decision: STEP046A Controlled Multi-Hop Lab Mode implementation is approved and local build PASS; physical lab-mode validation is next.</t>
        </is>
      </c>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77" t="inlineStr">
        <is>
          <t>Hybrid low-cost AI workflow</t>
        </is>
      </c>
      <c r="B201" s="258" t="inlineStr">
        <is>
          <t>ChatGPT directs planning; Gemini/Gemma handles simple docs; DeepSeek handles cheap coding; Kimi handles heavy implementation; Codex is reserved for premium repo execution/validation; local machine handles builds/tests/hardware.</t>
        </is>
      </c>
    </row>
  </sheetData>
  <mergeCells count="1">
    <mergeCell ref="A1:H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2" customWidth="1" style="51" min="1" max="1"/>
    <col width="42" customWidth="1" style="51" min="2" max="2"/>
    <col width="45" customWidth="1" style="51" min="3" max="3"/>
    <col width="18" customWidth="1" style="51" min="4" max="4"/>
    <col width="15" customWidth="1" style="51" min="5" max="5"/>
    <col width="18" customWidth="1" style="51" min="6" max="6"/>
    <col width="16" customWidth="1" style="51" min="7" max="7"/>
    <col width="24" customWidth="1" style="51" min="8" max="8"/>
  </cols>
  <sheetData>
    <row r="1">
      <c r="A1" s="267" t="inlineStr">
        <is>
          <t>PUP MANET Test-Aligned Architecture Summary</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Item</t>
        </is>
      </c>
      <c r="B3" s="169" t="inlineStr">
        <is>
          <t>Updated Test-Aligned Decision</t>
        </is>
      </c>
      <c r="C3" s="169" t="inlineStr">
        <is>
          <t>Reason / Acceptance Link</t>
        </is>
      </c>
      <c r="D3" s="169" t="inlineStr">
        <is>
          <t>Status</t>
        </is>
      </c>
      <c r="E3" s="169" t="inlineStr">
        <is>
          <t>Owner</t>
        </is>
      </c>
      <c r="F3" s="169" t="inlineStr">
        <is>
          <t>Evidence</t>
        </is>
      </c>
      <c r="G3" s="169" t="inlineStr">
        <is>
          <t>Date Completed</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Primary validated path</t>
        </is>
      </c>
      <c r="B4" s="258" t="inlineStr">
        <is>
          <t>Android App -&gt; Bluetooth -&gt; ESP32 LoRa Node -&gt; Local LoRa MANET -&gt; Raspberry Pi 3B Gateway -&gt; Tailscale VPN Tunnel over Internet -&gt; Remote Raspberry Pi 3B Gateway -&gt; Remote LoRa MANET -&gt; Bluetooth -&gt; Android App</t>
        </is>
      </c>
      <c r="C4" s="258" t="inlineStr">
        <is>
          <t>Finalized STEP039 direction. Replaces WiFi Router A &lt;-&gt; WiFi Router B simulated satellite link; internet/Tailscale is primary gateway transport, long-range LoRa gateway backhaul is backup, GSM/cellular remains optional future fallback.</t>
        </is>
      </c>
      <c r="D4" s="258" t="inlineStr">
        <is>
          <t>STEP041 serial bridge PASS; Tailscale TCP relay validated</t>
        </is>
      </c>
      <c r="F4" t="inlineStr">
        <is>
          <t>Python gateway TCP relay successfully transferred JSON messages from Gateway A to Gateway B through Tailscale VPN. Gateway A pup-gateway-a=100.123.79.41; Gateway B pup-gateway-b=100.79.214.18; TCP port 5050; ACK and heartbeat worked.</t>
        </is>
      </c>
      <c r="G4" t="inlineStr">
        <is>
          <t>2026-05-24</t>
        </is>
      </c>
      <c r="H4" t="inlineStr">
        <is>
          <t>STEP038 ESP32 firmware remains Stable STEP038 baseline firmware, not final. Existing TTL, hopCount, duplicate suppression, Bluetooth bridge, and LoRa forwarding logic remains valid. STEP041 connects ESP32 gateway node to Raspberry Pi over USB serial.</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Node pairing</t>
        </is>
      </c>
      <c r="B5" s="258" t="inlineStr">
        <is>
          <t>Each MANET node is paired to one Android phone over Bluetooth.</t>
        </is>
      </c>
      <c r="C5" s="258" t="inlineStr">
        <is>
          <t>Ensures Android messaging app can still inject messages to LoRa when WiFi/GSM are unavailable.</t>
        </is>
      </c>
      <c r="D5" s="258" t="inlineStr">
        <is>
          <t>Approved - normal nodes Bluetooth enabled; gateway ESP32 Bluetooth disabled</t>
        </is>
      </c>
      <c r="F5" s="258" t="inlineStr">
        <is>
          <t>Gateway Bluetooth cleanup remains validated. gatewayA_lora and gatewayB_lora boot with Bluetooth DISABLED; normal node builds keep Bluetooth enabled. STEP045A physical discovery shows nodeA1 ONLINE, gatewayA ONLINE, nodeA2 ONLINE, and gatewayB ONLINE in Android Nodes.</t>
        </is>
      </c>
      <c r="G5" s="258" t="inlineStr">
        <is>
          <t>2026-06-07</t>
        </is>
      </c>
      <c r="H5" s="258" t="inlineStr">
        <is>
          <t>Gateway ESP32 devices connected to Raspberry Pi gateways by USB serial must not appear in Android Bluetooth scans or accept Android pairing.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network selection</t>
        </is>
      </c>
      <c r="B6" t="inlineStr">
        <is>
          <t>Android app shall support Auto, LoRa, WiFi, and GSM selection.</t>
        </is>
      </c>
      <c r="C6" t="inlineStr">
        <is>
          <t>Extra feature allowed but must not interfere with DOCX validation path.</t>
        </is>
      </c>
      <c r="D6" t="inlineStr">
        <is>
          <t>Approved</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Auto mode behavior</t>
        </is>
      </c>
      <c r="B7" s="258" t="inlineStr">
        <is>
          <t>Auto mode should prioritize local LoRa MANET, then Tailscale VPN gateway tunnel, then long-range LoRa gateway backup, then optional GSM/cellular fallback when available.</t>
        </is>
      </c>
      <c r="C7" t="inlineStr">
        <is>
          <t>Allows failover decisions while preserving manual test control.</t>
        </is>
      </c>
      <c r="D7" t="inlineStr">
        <is>
          <t>Approved</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Failover trigger</t>
        </is>
      </c>
      <c r="B8" s="258" t="inlineStr">
        <is>
          <t>RSSI below -78 dBm for 10 seconds OR route/ACK timeout can trigger gateway/backhaul routing using Tailscale VPN first, then LoRa gateway backup if internet is unavailable.</t>
        </is>
      </c>
      <c r="C8" s="258" t="inlineStr">
        <is>
          <t>Matches degradation/failover intent while replacing simulated satellite/router-to-router path with primary RPi internet + Tailscale VPN tunnel and LoRa backup backhaul.</t>
        </is>
      </c>
      <c r="D8" s="258" t="inlineStr">
        <is>
          <t>Tailscale TCP relay + serial bridge validated; LoRa backup pending</t>
        </is>
      </c>
      <c r="F8" t="inlineStr">
        <is>
          <t>Tailscale ping PASS and TCP relay PASS over port 5050; route/ACK timeout backhaul policy still uses Tailscale first, LoRa backup if internet is unavailable.</t>
        </is>
      </c>
      <c r="G8" t="inlineStr">
        <is>
          <t>2026-05-24</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Recovery trigger</t>
        </is>
      </c>
      <c r="B9" t="inlineStr">
        <is>
          <t>Primary MANET route stable for 10 seconds triggers return to MANET; target switchback ≤5 seconds.</t>
        </is>
      </c>
      <c r="C9" t="inlineStr">
        <is>
          <t>Matches recovery/reversion test procedure.</t>
        </is>
      </c>
      <c r="D9" t="inlineStr">
        <is>
          <t>Approved</t>
        </is>
      </c>
      <c r="I9" s="257" t="n"/>
      <c r="J9" s="257" t="n"/>
      <c r="K9" s="257" t="n"/>
      <c r="L9" s="257" t="n"/>
      <c r="M9" s="257" t="n"/>
      <c r="N9" s="257" t="n"/>
      <c r="O9" s="257" t="n"/>
      <c r="P9" s="257" t="n"/>
      <c r="Q9" s="257" t="n"/>
      <c r="R9" s="257" t="n"/>
      <c r="S9" s="257" t="n"/>
      <c r="T9" s="257" t="n"/>
      <c r="U9" s="257" t="n"/>
      <c r="V9" s="257" t="n"/>
      <c r="W9" s="257" t="n"/>
      <c r="X9" s="257" t="n"/>
      <c r="Y9" s="257" t="n"/>
      <c r="Z9" s="257" t="n"/>
    </row>
    <row r="10">
      <c r="A10" s="1" t="inlineStr">
        <is>
          <t>Message not found locally</t>
        </is>
      </c>
      <c r="B10" s="1" t="n"/>
      <c r="C10" s="1" t="n"/>
      <c r="D10" s="1" t="n"/>
      <c r="E10" s="1" t="n"/>
      <c r="F10" s="1" t="n"/>
      <c r="G10" s="1" t="n"/>
      <c r="H10" s="1"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t="inlineStr">
        <is>
          <t>Simulation first</t>
        </is>
      </c>
      <c r="B11" s="1" t="inlineStr">
        <is>
          <t>All code shall include simulation mode before physical LoRa validation.</t>
        </is>
      </c>
      <c r="C11" s="1" t="n"/>
      <c r="D11" s="1" t="n"/>
      <c r="E11" s="1" t="n"/>
      <c r="F11" s="1" t="n"/>
      <c r="G11" s="1" t="n"/>
      <c r="H11" s="1"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B12" s="1" t="n"/>
      <c r="C12" s="1" t="n"/>
      <c r="D12" s="1" t="n"/>
      <c r="E12" s="1" t="n"/>
      <c r="F12" s="1" t="n"/>
      <c r="G12" s="1" t="n"/>
      <c r="H12" s="1"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132" t="inlineStr">
        <is>
          <t>Development Order</t>
        </is>
      </c>
      <c r="B13" s="122" t="inlineStr">
        <is>
          <t>Simulation -&gt; ESP32 PlatformIO code -&gt; Stable STEP038 baseline firmware -&gt; Raspberry Pi gateway code -&gt; Tailscale VPN primary backhaul -&gt; long-range LoRa backup backhaul -&gt; Android chat app -&gt; integrated validation.</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49" t="inlineStr">
        <is>
          <t>Gateway backhaul direction</t>
        </is>
      </c>
      <c r="B14" s="49" t="inlineStr">
        <is>
          <t>Raspberry Pi 3B Gateway A &lt;-&gt; Tailscale VPN Tunnel over Internet &lt;-&gt; Raspberry Pi 3B Gateway B</t>
        </is>
      </c>
      <c r="C14" s="49" t="inlineStr">
        <is>
          <t>Internet backhaul is now the primary gateway transport; Tailscale VPN is the primary encrypted tunnel; Ethernet/WiFi internet connectivity is preferred; LoRa-to-LoRa gateway backhaul is backup if internet is unavailable; GSM/cellular remains optional future fallback.</t>
        </is>
      </c>
      <c r="D14" s="49" t="inlineStr">
        <is>
          <t>STEP040B Tailscale TCP relay PASS</t>
        </is>
      </c>
      <c r="E14" s="257" t="n"/>
      <c r="F14" s="257" t="inlineStr">
        <is>
          <t>pup-gateway-a 100.123.79.41 connected to pup-gateway-b 100.79.214.18:5050; JSON test packet, ACK, and heartbeat validated.</t>
        </is>
      </c>
      <c r="G14" s="257" t="inlineStr">
        <is>
          <t>2026-05-24</t>
        </is>
      </c>
      <c r="H14" s="257" t="inlineStr">
        <is>
          <t>Gateway-to-gateway encrypted internet tunnel is operational. STEP041 serial bridge is next incomplete.</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49" t="inlineStr">
        <is>
          <t>Future gateway capabilities</t>
        </is>
      </c>
      <c r="B15" s="49" t="inlineStr">
        <is>
          <t>Future gateway capabilities: store-and-forward queue; gateway ACK tracking; heartbeat monitoring; peer online detection; automatic reconnect; gateway relay mode; LoRa backup backhaul mode.</t>
        </is>
      </c>
      <c r="C15" s="49" t="inlineStr">
        <is>
          <t>Heartbeat monitoring and gateway ACK behavior have initial STEP040B validation; store-and-forward queue, peer online detection, automatic reconnect, gateway relay mode integration, and LoRa backup backhaul mode remain planned.</t>
        </is>
      </c>
      <c r="D15" s="49" t="inlineStr">
        <is>
          <t>Partially validated / future enhancements pending</t>
        </is>
      </c>
      <c r="E15" s="257" t="n"/>
      <c r="F15" s="257" t="inlineStr">
        <is>
          <t>STEP040B showed ACK and heartbeat behavior over Tailscale TCP relay.</t>
        </is>
      </c>
      <c r="G15" s="257" t="inlineStr">
        <is>
          <t>2026-05-24</t>
        </is>
      </c>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49" t="inlineStr">
        <is>
          <t>Architecture priority order</t>
        </is>
      </c>
      <c r="B16" s="49" t="inlineStr">
        <is>
          <t>Priority 1: Local LoRa MANET; Priority 2: Tailscale VPN gateway tunnel; Priority 3: Long-range LoRa gateway backup; Priority 4: GSM/cellular optional fallback.</t>
        </is>
      </c>
      <c r="C16" s="49" t="inlineStr">
        <is>
          <t>Internet backhaul/Tailscale is primary for gateway-to-gateway traffic; local LoRa remains first priority for local MANET delivery.</t>
        </is>
      </c>
      <c r="D16" s="49" t="inlineStr">
        <is>
          <t>Approved - preserved after STEP040B</t>
        </is>
      </c>
      <c r="E16" s="257" t="n"/>
      <c r="F16" s="257" t="inlineStr">
        <is>
          <t>Priority 1: Local LoRa MANET; Priority 2: Tailscale VPN gateway tunnel; Priority 3: Long-range LoRa gateway backup; Priority 4: GSM/cellular optional fallback.</t>
        </is>
      </c>
      <c r="G16" s="257" t="inlineStr">
        <is>
          <t>2026-05-24</t>
        </is>
      </c>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s="51">
      <c r="A17" s="49" t="inlineStr">
        <is>
          <t>ESP32 firmware status</t>
        </is>
      </c>
      <c r="B17" s="49" t="inlineStr">
        <is>
          <t>STEP038 ESP32 firmware is not final; it is the Stable STEP038 baseline firmware. Existing TTL, hopCount, duplicate suppression, Bluetooth bridge, and LoRa forwarding logic remains valid. Future firmware will support NODE mode and GATEWAY mode.</t>
        </is>
      </c>
      <c r="C17" s="49" t="inlineStr">
        <is>
          <t>Existing routing logic remains valid; gateway-mode enhancements are future work.</t>
        </is>
      </c>
      <c r="D17" s="49" t="inlineStr">
        <is>
          <t>Stable baseline plus STEP041/STEP042A/STEP043/STEP044/STEP045A/STEP045B PASS</t>
        </is>
      </c>
      <c r="E17" s="257" t="n"/>
      <c r="F17" s="258" t="inlineStr">
        <is>
          <t>Existing TTL, hopCount, duplicate suppression, Bluetooth bridge, LoRa forwarding, [GW_JSON] serial bridge, gateway Bluetooth-disable behavior, strict BT1 validation, mesh-wide HELLO propagation, and Android live discovered-node destination selection remain valid.</t>
        </is>
      </c>
      <c r="G17" s="258" t="inlineStr">
        <is>
          <t>2026-06-07</t>
        </is>
      </c>
      <c r="H17" s="258" t="inlineStr">
        <is>
          <t>STEP045B is Android-only; compact BT1 firmware and Raspberry Pi gateway service were not modified.</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s="51">
      <c r="A18" s="49" t="inlineStr">
        <is>
          <t>STEP040B Tailscale TCP relay validation</t>
        </is>
      </c>
      <c r="B18" s="49" t="inlineStr">
        <is>
          <t>pup-gateway-a (100.123.79.41) -&gt; Tailscale VPN -&gt; pup-gateway-b (100.79.214.18) using TCP port 5050</t>
        </is>
      </c>
      <c r="C18" s="49" t="inlineStr">
        <is>
          <t>Confirms the primary encrypted internet gateway tunnel can transfer JSON relay traffic before ESP32 serial bridge integration.</t>
        </is>
      </c>
      <c r="D18" s="49" t="inlineStr">
        <is>
          <t>Completed / PASS</t>
        </is>
      </c>
      <c r="E18" s="45" t="inlineStr">
        <is>
          <t>User + Codex</t>
        </is>
      </c>
      <c r="F18" s="49"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G18" s="45" t="inlineStr">
        <is>
          <t>2026-05-24</t>
        </is>
      </c>
      <c r="H18" s="45" t="inlineStr">
        <is>
          <t>Next incomplete task: STEP041 - ESP32-to-Raspberry Pi Serial Bridge Integration. Do not mark ESP32 serial integration complete until validated.</t>
        </is>
      </c>
      <c r="I18" s="45" t="n"/>
      <c r="J18" s="45" t="n"/>
      <c r="K18" s="45" t="n"/>
      <c r="L18" s="45" t="n"/>
      <c r="M18" s="45" t="n"/>
      <c r="N18" s="45" t="n"/>
      <c r="O18" s="45" t="n"/>
      <c r="P18" s="45" t="n"/>
      <c r="Q18" s="45" t="n"/>
      <c r="R18" s="45" t="n"/>
      <c r="S18" s="45" t="n"/>
      <c r="T18" s="45" t="n"/>
      <c r="U18" s="45" t="n"/>
      <c r="V18" s="45" t="n"/>
      <c r="W18" s="45" t="n"/>
      <c r="X18" s="45" t="n"/>
      <c r="Y18" s="45" t="n"/>
      <c r="Z18" s="45" t="n"/>
    </row>
    <row r="19">
      <c r="A19" s="257" t="inlineStr">
        <is>
          <t>STEP041 serial bridge validation</t>
        </is>
      </c>
      <c r="B19" s="257" t="inlineStr">
        <is>
          <t>ESP32 Gateway Node → USB Serial [GW_JSON] → Raspberry Pi Gateway Service → Tailscale VPN TCP → Peer Gateway Service → USB Serial [GW_JSON] → ESP32 Gateway Node → SX1278 LoRa</t>
        </is>
      </c>
      <c r="C19" s="257" t="inlineStr">
        <is>
          <t>Confirms ESP32-to-RPi USB serial bridge can pass BT-MANET/LORA protocol JSON lines bidirectionally; [GW_JSON] prefix parsing prevents boot/debug log noise.</t>
        </is>
      </c>
      <c r="D19" s="257" t="inlineStr">
        <is>
          <t>Completed / PASS</t>
        </is>
      </c>
      <c r="E19" s="257" t="inlineStr">
        <is>
          <t>User + Codex</t>
        </is>
      </c>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inlineStr">
        <is>
          <t>Default node IDs</t>
        </is>
      </c>
      <c r="B20" s="257" t="inlineStr">
        <is>
          <t>nodeA1, nodeA2, nodeA3, nodeB1, nodeB2, nodeB3</t>
        </is>
      </c>
      <c r="C20" s="257" t="inlineStr">
        <is>
          <t>Clarified requirement 2026-06-02</t>
        </is>
      </c>
      <c r="D20" s="257" t="inlineStr">
        <is>
          <t>Approved</t>
        </is>
      </c>
      <c r="E20" s="257" t="inlineStr"/>
      <c r="F20" s="257" t="inlineStr"/>
      <c r="G20" s="257" t="inlineStr">
        <is>
          <t>2026-06-02</t>
        </is>
      </c>
      <c r="H20" s="257" t="inlineStr">
        <is>
          <t>Fixed 6-node IDs for prototype topology.</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inlineStr">
        <is>
          <t>Android node list rule</t>
        </is>
      </c>
      <c r="B21" s="257" t="inlineStr">
        <is>
          <t>Android shows only online/reachable nodes; nodes remain visible even without Android phones attached</t>
        </is>
      </c>
      <c r="C21" s="257" t="inlineStr">
        <is>
          <t>Clarified requirement 2026-06-02</t>
        </is>
      </c>
      <c r="D21" s="257" t="inlineStr">
        <is>
          <t>Approved</t>
        </is>
      </c>
      <c r="E21" s="257" t="inlineStr"/>
      <c r="F21" s="257" t="inlineStr"/>
      <c r="G21" s="257" t="inlineStr">
        <is>
          <t>2026-06-02</t>
        </is>
      </c>
      <c r="H21" s="258" t="inlineStr">
        <is>
          <t>Online state driven by HELLO interval and offline timeout.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inlineStr">
        <is>
          <t>Node grouping rule</t>
        </is>
      </c>
      <c r="B22" s="257" t="inlineStr">
        <is>
          <t>Node list grouped by mesh/gateway in Android UI</t>
        </is>
      </c>
      <c r="C22" s="257" t="inlineStr">
        <is>
          <t>Clarified requirement 2026-06-02</t>
        </is>
      </c>
      <c r="D22" s="257" t="inlineStr">
        <is>
          <t>Approved</t>
        </is>
      </c>
      <c r="E22" s="257" t="inlineStr"/>
      <c r="F22" s="257" t="inlineStr"/>
      <c r="G22" s="257" t="inlineStr">
        <is>
          <t>2026-06-02</t>
        </is>
      </c>
      <c r="H22" s="257" t="inlineStr">
        <is>
          <t>Grouped by local MANET vs remote gateway network.</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inlineStr">
        <is>
          <t>One phone per node</t>
        </is>
      </c>
      <c r="B23" s="257" t="inlineStr">
        <is>
          <t>One Android phone maximum per ESP32 node</t>
        </is>
      </c>
      <c r="C23" s="257" t="inlineStr">
        <is>
          <t>Clarified requirement 2026-06-02</t>
        </is>
      </c>
      <c r="D23" s="257" t="inlineStr">
        <is>
          <t>Approved</t>
        </is>
      </c>
      <c r="E23" s="257" t="inlineStr"/>
      <c r="F23" s="257" t="inlineStr"/>
      <c r="G23" s="257" t="inlineStr">
        <is>
          <t>2026-06-02</t>
        </is>
      </c>
      <c r="H23" s="257" t="inlineStr">
        <is>
          <t>Pairing policy.</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inlineStr">
        <is>
          <t>Presence protocol</t>
        </is>
      </c>
      <c r="B24" s="258" t="inlineStr">
        <is>
          <t>HELLO interval = 10 sec; Offline timeout = 30 sec</t>
        </is>
      </c>
      <c r="C24" s="257" t="inlineStr">
        <is>
          <t>Clarified requirement 2026-06-02</t>
        </is>
      </c>
      <c r="D24" s="257" t="inlineStr">
        <is>
          <t>Approved</t>
        </is>
      </c>
      <c r="E24" s="257" t="inlineStr"/>
      <c r="F24" s="257" t="inlineStr"/>
      <c r="G24" s="257" t="inlineStr">
        <is>
          <t>2026-06-02</t>
        </is>
      </c>
      <c r="H24" s="257" t="inlineStr">
        <is>
          <t>Neighbor discovery and reachability heartbeat.</t>
        </is>
      </c>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inlineStr">
        <is>
          <t>Delivery tracking</t>
        </is>
      </c>
      <c r="B25" s="257" t="inlineStr">
        <is>
          <t>MESSAGE -&gt; DELIVERED -&gt; SEEN</t>
        </is>
      </c>
      <c r="C25" s="257" t="inlineStr">
        <is>
          <t>Clarified requirement 2026-06-02</t>
        </is>
      </c>
      <c r="D25" s="257" t="inlineStr">
        <is>
          <t>Approved</t>
        </is>
      </c>
      <c r="E25" s="257" t="inlineStr"/>
      <c r="F25" s="257" t="inlineStr"/>
      <c r="G25" s="257" t="inlineStr">
        <is>
          <t>2026-06-02</t>
        </is>
      </c>
      <c r="H25" s="257" t="inlineStr">
        <is>
          <t>End-to-end message delivery status tracking.</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257" t="inlineStr">
        <is>
          <t>STEP042 split</t>
        </is>
      </c>
      <c r="B26" s="257" t="inlineStr">
        <is>
          <t>STEP042A Node Discovery and Reachability; STEP042B Destination Messaging; STEP042C Delivery Tracking; STEP042D Store-and-Forward</t>
        </is>
      </c>
      <c r="C26" s="257" t="inlineStr">
        <is>
          <t>Clarified requirement 2026-06-02</t>
        </is>
      </c>
      <c r="D26" s="257" t="inlineStr">
        <is>
          <t>Approved</t>
        </is>
      </c>
      <c r="E26" s="257" t="inlineStr"/>
      <c r="F26" s="257" t="inlineStr"/>
      <c r="G26" s="257" t="inlineStr">
        <is>
          <t>2026-06-02</t>
        </is>
      </c>
      <c r="H26" s="257" t="inlineStr">
        <is>
          <t>Do not modify firmware, gateway, or Android code yet.</t>
        </is>
      </c>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s="51">
      <c r="A27" s="45" t="inlineStr">
        <is>
          <t>Gateway ESP32 Bluetooth policy</t>
        </is>
      </c>
      <c r="B27" s="45" t="inlineStr">
        <is>
          <t>Gateway ESP32 builds use gatewayA_lora/gatewayB_lora with ENABLE_BLUETOOTH=0; normal MANET node builds keep Bluetooth enabled.</t>
        </is>
      </c>
      <c r="C27" s="45" t="inlineStr">
        <is>
          <t>Gateway ESP32 devices are USB-serial attached to Raspberry Pi gateways and must not appear in Android scans or accept pairing.</t>
        </is>
      </c>
      <c r="D27" s="45" t="inlineStr">
        <is>
          <t>Completed / Validated</t>
        </is>
      </c>
      <c r="E27" s="45" t="inlineStr">
        <is>
          <t>User + Codex</t>
        </is>
      </c>
      <c r="F27" s="45" t="inlineStr">
        <is>
          <t>Gateway Bluetooth cleanup complete and validated: gatewayA_lora and gatewayB_lora boot with Bluetooth DISABLED; Android Bluetooth scan shows only PUP-MANET-nodeA1 and PUP-MANET-nodeA2, not PUP-MANET-NODE_A or PUP-MANET-NODE_B. Normal MANET nodes keep Bluetooth enabled.</t>
        </is>
      </c>
      <c r="G27" s="45" t="inlineStr">
        <is>
          <t>2026-06-04</t>
        </is>
      </c>
      <c r="H27" s="45" t="inlineStr">
        <is>
          <t>Preserve this behavior during STEP042A and later work.</t>
        </is>
      </c>
      <c r="I27" s="45" t="n"/>
      <c r="J27" s="45" t="n"/>
      <c r="K27" s="45" t="n"/>
      <c r="L27" s="45" t="n"/>
      <c r="M27" s="45" t="n"/>
      <c r="N27" s="45" t="n"/>
      <c r="O27" s="45" t="n"/>
      <c r="P27" s="45" t="n"/>
      <c r="Q27" s="45" t="n"/>
      <c r="R27" s="45" t="n"/>
      <c r="S27" s="45" t="n"/>
      <c r="T27" s="45" t="n"/>
      <c r="U27" s="45" t="n"/>
      <c r="V27" s="45" t="n"/>
      <c r="W27" s="45" t="n"/>
      <c r="X27" s="45" t="n"/>
      <c r="Y27" s="45" t="n"/>
      <c r="Z27" s="45" t="n"/>
    </row>
    <row r="28" s="51">
      <c r="A28" s="49" t="inlineStr">
        <is>
          <t>STEP042A discovery export fix</t>
        </is>
      </c>
      <c r="B28" s="49" t="inlineStr">
        <is>
          <t>Compact relay HELLO packets are learned before routing/duplicate handling; NODE_LIST export logs each node and count.</t>
        </is>
      </c>
      <c r="C28" s="49" t="inlineStr">
        <is>
          <t>Fixes Android count=1 symptom when nodeA1/nodeA2 HELLO packets are visible over LoRa but missing from local node table.</t>
        </is>
      </c>
      <c r="D28" s="49" t="inlineStr">
        <is>
          <t>Physically Validated / PASS - nodeA1/nodeA2/gatewayA/gatewayB Discovery</t>
        </is>
      </c>
      <c r="E28" s="49" t="inlineStr">
        <is>
          <t>User + Codex</t>
        </is>
      </c>
      <c r="F28"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G28" s="49" t="inlineStr">
        <is>
          <t>2026-06-07</t>
        </is>
      </c>
      <c r="H28" s="49" t="inlineStr">
        <is>
          <t>A-side export fix is complemented by STEP045A mesh-wide presence propagation. nodeA3 remains not deployed.</t>
        </is>
      </c>
      <c r="I28" s="45" t="n"/>
      <c r="J28" s="45" t="n"/>
      <c r="K28" s="45" t="n"/>
      <c r="L28" s="45" t="n"/>
      <c r="M28" s="45" t="n"/>
      <c r="N28" s="45" t="n"/>
      <c r="O28" s="45" t="n"/>
      <c r="P28" s="45" t="n"/>
      <c r="Q28" s="45" t="n"/>
      <c r="R28" s="45" t="n"/>
      <c r="S28" s="45" t="n"/>
      <c r="T28" s="45" t="n"/>
      <c r="U28" s="45" t="n"/>
      <c r="V28" s="45" t="n"/>
      <c r="W28" s="45" t="n"/>
      <c r="X28" s="45" t="n"/>
      <c r="Y28" s="45" t="n"/>
      <c r="Z28" s="45" t="n"/>
    </row>
    <row r="29">
      <c r="A29" s="258" t="inlineStr">
        <is>
          <t>STEP042A A-side discovery validation</t>
        </is>
      </c>
      <c r="B29" s="258" t="inlineStr">
        <is>
          <t>Android discovered nodeA1 ONLINE, gatewayA ONLINE, nodeA2 ONLINE, and gatewayB ONLINE after STEP045A firmware was flashed to gatewayA/gatewayB/nodeA1/nodeA2.</t>
        </is>
      </c>
      <c r="C29" s="258" t="inlineStr">
        <is>
          <t>Discovery propagation PASS; nodeA3 deployment remains pending</t>
        </is>
      </c>
      <c r="D29" s="258" t="inlineStr">
        <is>
          <t>User</t>
        </is>
      </c>
      <c r="E29" s="258" t="inlineStr">
        <is>
          <t>User</t>
        </is>
      </c>
      <c r="F29" s="258" t="inlineStr">
        <is>
          <t>Physical Android validation PASS after flashing gatewayA, gatewayB, nodeA1, and nodeA2. Android Nodes shows Gateway A: nodeA1 ONLINE, gatewayA ONLINE, nodeA2 ONLINE; Gateway B: gatewayB ONLINE. This is still not full 6-node topology validation because nodeA3 has not been deployed.</t>
        </is>
      </c>
      <c r="G29" s="258" t="inlineStr">
        <is>
          <t>2026-06-07</t>
        </is>
      </c>
      <c r="H29" s="258" t="inlineStr">
        <is>
          <t>Next action: STEP045B Android Real-Network Cleanup - replace temporary hardcoded destination mapping with live discovered-node selection and clean simulated labels/route display. Do not start STEP042C/D.</t>
        </is>
      </c>
      <c r="I29" s="258" t="n"/>
      <c r="J29" s="258" t="n"/>
      <c r="K29" s="258" t="n"/>
      <c r="L29" s="258" t="n"/>
      <c r="M29" s="258" t="n"/>
      <c r="N29" s="258" t="n"/>
      <c r="O29" s="258" t="n"/>
      <c r="P29" s="258" t="n"/>
      <c r="Q29" s="258" t="n"/>
      <c r="R29" s="258" t="n"/>
      <c r="S29" s="258" t="n"/>
      <c r="T29" s="258" t="n"/>
      <c r="U29" s="258" t="n"/>
      <c r="V29" s="258" t="n"/>
      <c r="W29" s="258" t="n"/>
      <c r="X29" s="258" t="n"/>
      <c r="Y29" s="258" t="n"/>
      <c r="Z29" s="258" t="n"/>
    </row>
    <row r="30">
      <c r="A30" s="258" t="inlineStr">
        <is>
          <t>STEP042B 2-node messaging validation</t>
        </is>
      </c>
      <c r="B30" s="258" t="inlineStr">
        <is>
          <t>Android-to-Android LoRa bridge validated bidirectionally for nodeA1 &lt;-&gt; nodeA2.</t>
        </is>
      </c>
      <c r="C30" s="258" t="inlineStr">
        <is>
          <t>2-node PASS only</t>
        </is>
      </c>
      <c r="D30" s="258" t="inlineStr">
        <is>
          <t>User</t>
        </is>
      </c>
      <c r="E30" s="258" t="inlineStr">
        <is>
          <t>User</t>
        </is>
      </c>
      <c r="F30" s="258" t="inlineStr">
        <is>
          <t>Phone A sent "hello from A" and Phone B received it via LoRa on path nodeA1 -&gt; nodeA2. Phone B sent "hello from b" and Phone A received it via LoRa on path nodeA2 -&gt; nodeA1.</t>
        </is>
      </c>
      <c r="G30" s="258" t="inlineStr">
        <is>
          <t>2026-06-05</t>
        </is>
      </c>
      <c r="H30" s="258" t="inlineStr">
        <is>
          <t>Temporary Android validation mapping in MainActivity.kt: peerNodeForConnectedEsp32() changed from "nodeA2" -&gt; "nodeA3" to "nodeA2" -&gt; "nodeA1" because nodeA3 has not been deployed.</t>
        </is>
      </c>
      <c r="I30" s="258" t="n"/>
      <c r="J30" s="258" t="n"/>
      <c r="K30" s="258" t="n"/>
      <c r="L30" s="258" t="n"/>
      <c r="M30" s="258" t="n"/>
      <c r="N30" s="258" t="n"/>
      <c r="O30" s="258" t="n"/>
      <c r="P30" s="258" t="n"/>
      <c r="Q30" s="258" t="n"/>
      <c r="R30" s="258" t="n"/>
      <c r="S30" s="258" t="n"/>
      <c r="T30" s="258" t="n"/>
      <c r="U30" s="258" t="n"/>
      <c r="V30" s="258" t="n"/>
      <c r="W30" s="258" t="n"/>
      <c r="X30" s="258" t="n"/>
      <c r="Y30" s="258" t="n"/>
      <c r="Z30" s="258" t="n"/>
    </row>
    <row r="31">
      <c r="A31" s="258" t="inlineStr">
        <is>
          <t>STEP045 remaining issues</t>
        </is>
      </c>
      <c r="B31" s="258" t="inlineStr">
        <is>
          <t>nodeA3 deployment and any recurring gatewayB serial-reset observation remain the next non-Android-cleanup concerns.</t>
        </is>
      </c>
      <c r="C31" s="258" t="inlineStr">
        <is>
          <t>Open</t>
        </is>
      </c>
      <c r="D31" s="258" t="inlineStr">
        <is>
          <t>User + Codex</t>
        </is>
      </c>
      <c r="E31" s="258" t="inlineStr">
        <is>
          <t>User + Codex</t>
        </is>
      </c>
      <c r="F31" s="258" t="inlineStr">
        <is>
          <t>Resolved by STEP045B: simulation-era labels no longer appear as current real-network status; Chat send uses selected live discovered destination; Route tab shows live LoRa route when real nodes exist. Remaining: nodeA3 not flashed/validated; gatewayB repeated reset/garbage serial output should be investigated if it recurs.</t>
        </is>
      </c>
      <c r="G31" s="258" t="inlineStr">
        <is>
          <t>2026-06-07</t>
        </is>
      </c>
      <c r="H31" s="258" t="inlineStr">
        <is>
          <t>Next action: continue only from the next incomplete workbook task after STEP045B. Do not start STEP042C/D unless explicitly routed.</t>
        </is>
      </c>
      <c r="I31" s="258" t="n"/>
      <c r="J31" s="258" t="n"/>
      <c r="K31" s="258" t="n"/>
      <c r="L31" s="258" t="n"/>
      <c r="M31" s="258" t="n"/>
      <c r="N31" s="258" t="n"/>
      <c r="O31" s="258" t="n"/>
      <c r="P31" s="258" t="n"/>
      <c r="Q31" s="258" t="n"/>
      <c r="R31" s="258" t="n"/>
      <c r="S31" s="258" t="n"/>
      <c r="T31" s="258" t="n"/>
      <c r="U31" s="258" t="n"/>
      <c r="V31" s="258" t="n"/>
      <c r="W31" s="258" t="n"/>
      <c r="X31" s="258" t="n"/>
      <c r="Y31" s="258" t="n"/>
      <c r="Z31" s="258" t="n"/>
    </row>
    <row r="32">
      <c r="A32" s="49" t="inlineStr">
        <is>
          <t>STEP043 LoRa HELLO packet format</t>
        </is>
      </c>
      <c r="B32" s="49" t="inlineStr">
        <is>
          <t>Final current LoRa firmware protocol remains compact BT1 relay packets; receiver-side compact HELLO parsing/learning is corrected.</t>
        </is>
      </c>
      <c r="C32" s="49" t="inlineStr">
        <is>
          <t>Preserves nodeA1/nodeA2 compact packet routing while fixing gateway HELLO discovery.</t>
        </is>
      </c>
      <c r="D32" s="49" t="inlineStr">
        <is>
          <t>Completed / PASS</t>
        </is>
      </c>
      <c r="E32" s="49" t="inlineStr">
        <is>
          <t>Codex</t>
        </is>
      </c>
      <c r="F32" s="49" t="inlineStr">
        <is>
          <t>Initial STEP043 JSON-oriented fix failed physical validation. After flashing gatewayA_lora and gatewayB_lora, Gateway A still transmitted compact HELLO frames: [LORA_TX] BT1|HELLO-gatewayA-...|gatewayA|BROADCAST|{"gatewayId":"A"}|... Protocol decision: keep compact BT1 LoRa relay packets as the current firmware protocol because nodeA1/nodeA2 routing already works with compact packets. Corrected fix in esp32-node-platformio/src/main.cpp: sendHelloBroadcast() and all LoRa relay TX paths remain compact BT1; compact RX logs [LORA_RELAY_PARSE] valid; parseLoRaRelayPacket() infers HELLO from HELLO-* or BROADCAST + gatewayId; processIncomingLoRaRelayPacket() learns HELLO before duplicate/drop routing and returns immediately for HELLO. Build PASS: pio run -e gatewayA_lora -e gatewayB_lora; pio run -e nodeA1_lora -e nodeA2_lora.</t>
        </is>
      </c>
      <c r="G32" s="49" t="inlineStr">
        <is>
          <t>2026-06-06</t>
        </is>
      </c>
      <c r="H32" s="49" t="inlineStr">
        <is>
          <t>PASS: Gateway A and Gateway B discover each other over compact BT1 HELLO packets; TEST_FINAL_001 from gatewayB to gatewayA was received.</t>
        </is>
      </c>
      <c r="I32" s="49" t="n"/>
      <c r="J32" s="49" t="n"/>
      <c r="K32" s="49" t="n"/>
      <c r="L32" s="49" t="n"/>
      <c r="M32" s="49" t="n"/>
      <c r="N32" s="49" t="n"/>
      <c r="O32" s="49" t="n"/>
      <c r="P32" s="49" t="n"/>
      <c r="Q32" s="49" t="n"/>
      <c r="R32" s="49" t="n"/>
      <c r="S32" s="49" t="n"/>
      <c r="T32" s="49" t="n"/>
      <c r="U32" s="49" t="n"/>
      <c r="V32" s="49" t="n"/>
      <c r="W32" s="49" t="n"/>
      <c r="X32" s="49" t="n"/>
      <c r="Y32" s="49" t="n"/>
      <c r="Z32" s="49" t="n"/>
    </row>
    <row r="33" s="51">
      <c r="A33" s="49" t="inlineStr">
        <is>
          <t>STEP044 strict compact BT1 validation</t>
        </is>
      </c>
      <c r="B33" s="49" t="inlineStr">
        <is>
          <t>Strict compact BT1 validation physical PASS</t>
        </is>
      </c>
      <c r="C33" s="49" t="inlineStr">
        <is>
          <t>Prevents corrupted RF payloads from creating UNKNOWN gateway neighbors or corrupted node names.</t>
        </is>
      </c>
      <c r="D33" s="49" t="inlineStr">
        <is>
          <t>Malformed compact packets rejected before neighbor learning; known-good HELLO packets still parse.</t>
        </is>
      </c>
      <c r="E33" s="49" t="inlineStr">
        <is>
          <t>Codex</t>
        </is>
      </c>
      <c r="F33" s="49" t="inlineStr">
        <is>
          <t>Physical Validation PASS / COMPLETE</t>
        </is>
      </c>
      <c r="G33" s="49" t="inlineStr">
        <is>
          <t>2026-06-06</t>
        </is>
      </c>
      <c r="H33"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33" s="49" t="n"/>
      <c r="J33" s="49" t="n"/>
      <c r="K33" s="49" t="n"/>
      <c r="L33" s="49" t="n"/>
      <c r="M33" s="49" t="n"/>
      <c r="N33" s="49" t="n"/>
      <c r="O33" s="49" t="n"/>
      <c r="P33" s="49" t="n"/>
      <c r="Q33" s="49" t="n"/>
      <c r="R33" s="49" t="n"/>
      <c r="S33" s="49" t="n"/>
      <c r="T33" s="49" t="n"/>
      <c r="U33" s="49" t="n"/>
      <c r="V33" s="49" t="n"/>
      <c r="W33" s="49" t="n"/>
      <c r="X33" s="49" t="n"/>
      <c r="Y33" s="49" t="n"/>
      <c r="Z33" s="49" t="n"/>
    </row>
    <row r="34" s="51">
      <c r="A34" s="49" t="inlineStr">
        <is>
          <t>STEP045A mesh-wide presence propagation</t>
        </is>
      </c>
      <c r="B34" s="49" t="inlineStr">
        <is>
          <t>Validated compact BT1 HELLO packets propagate across the mesh so Android-connected node tables learn gatewayB.</t>
        </is>
      </c>
      <c r="C34" s="49" t="inlineStr">
        <is>
          <t>Fixes gatewayB missing from Android discovery without weakening STEP044 validation.</t>
        </is>
      </c>
      <c r="D34" s="49" t="inlineStr">
        <is>
          <t>Completed / PASS</t>
        </is>
      </c>
      <c r="E34" s="49" t="inlineStr">
        <is>
          <t>Codex + User</t>
        </is>
      </c>
      <c r="F34" s="49" t="inlineStr">
        <is>
          <t>Physical Android validation PASS after flashing gatewayA, gatewayB, nodeA1, and nodeA2. Android Nodes shows Gateway A: nodeA1 ONLINE, gatewayA ONLINE, nodeA2 ONLINE; Gateway B: gatewayB ONLINE. 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t>
        </is>
      </c>
      <c r="G34" s="49" t="inlineStr">
        <is>
          <t>2026-06-07</t>
        </is>
      </c>
      <c r="H34" s="49" t="inlineStr">
        <is>
          <t>Next: STEP045B Android Real-Network Cleanup.</t>
        </is>
      </c>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s="51">
      <c r="A35" s="49" t="inlineStr">
        <is>
          <t>STEP045B Android real-network cleanup</t>
        </is>
      </c>
      <c r="B35" s="49" t="inlineStr">
        <is>
          <t>Android UI and Chat use live discovered node IDs and selected live destination state.</t>
        </is>
      </c>
      <c r="C35" s="49" t="inlineStr">
        <is>
          <t>Completes cleanup after STEP045A gatewayB discovery propagation.</t>
        </is>
      </c>
      <c r="D35" s="49" t="inlineStr">
        <is>
          <t>Completed / PASS</t>
        </is>
      </c>
      <c r="E35" s="49" t="inlineStr">
        <is>
          <t>Codex + User</t>
        </is>
      </c>
      <c r="F35" s="49" t="inlineStr">
        <is>
          <t>STEP045B physical Android hardware validation PASS. Android UI and Chat use live discovered node IDs; Chat destination is selected from discoveredNodes; local connected node is excluded; Route tab shows live LoRa route state when real nodes exist. Android-only cleanup in MainActivity.kt: live destination state from discoveredNodes, hardcoded peer mapping removed from Chat send, fallback destination only when NODE_LIST is empty and labeled fallback, simulation-era labels removed or marked fallback/lab state.</t>
        </is>
      </c>
      <c r="G35" s="49" t="inlineStr">
        <is>
          <t>2026-06-07</t>
        </is>
      </c>
      <c r="H35" s="49" t="inlineStr">
        <is>
          <t>Next action: continue only from the next incomplete workbook task after STEP045B. Do not start STEP042C/D unless explicitly routed.</t>
        </is>
      </c>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5">
    <mergeCell ref="A1:H1"/>
    <mergeCell ref="B13:H13"/>
    <mergeCell ref="B12:H12"/>
    <mergeCell ref="A10:H10"/>
    <mergeCell ref="B11:H1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0" customWidth="1" style="51" min="1" max="1"/>
    <col width="28" customWidth="1" style="51" min="2" max="2"/>
    <col width="18" customWidth="1" style="51" min="3" max="3"/>
    <col width="24" customWidth="1" style="51" min="4" max="4"/>
    <col width="18" customWidth="1" style="51" min="5" max="5"/>
    <col width="26" customWidth="1" style="51" min="6" max="6"/>
    <col width="34" customWidth="1" style="51" min="7" max="7"/>
    <col width="34" customWidth="1" style="51" min="8" max="8"/>
    <col width="14" customWidth="1" style="51" min="9" max="9"/>
  </cols>
  <sheetData>
    <row r="1">
      <c r="A1" s="268" t="inlineStr">
        <is>
          <t>STAGED IMPLEMENTATION PLAN — CODEX + GITHUB WORKFLOW</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91" t="inlineStr">
        <is>
          <t>Phase</t>
        </is>
      </c>
      <c r="B3" s="191" t="inlineStr">
        <is>
          <t>Name</t>
        </is>
      </c>
      <c r="C3" s="191" t="inlineStr">
        <is>
          <t>Goal</t>
        </is>
      </c>
      <c r="D3" s="191" t="inlineStr">
        <is>
          <t>Primary Output</t>
        </is>
      </c>
      <c r="E3" s="191" t="inlineStr">
        <is>
          <t>Entry Criteria</t>
        </is>
      </c>
      <c r="F3" s="191" t="inlineStr">
        <is>
          <t>Exit Criteria</t>
        </is>
      </c>
      <c r="G3" s="191" t="inlineStr">
        <is>
          <t>Main Tools</t>
        </is>
      </c>
      <c r="H3" s="191" t="inlineStr">
        <is>
          <t>Status</t>
        </is>
      </c>
      <c r="I3" s="191"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0</t>
        </is>
      </c>
      <c r="B4" s="258" t="inlineStr">
        <is>
          <t>Project Baseline</t>
        </is>
      </c>
      <c r="C4" s="258" t="inlineStr">
        <is>
          <t>Finalize architecture and workbook</t>
        </is>
      </c>
      <c r="D4" s="258" t="inlineStr">
        <is>
          <t>Approved workbook and topology</t>
        </is>
      </c>
      <c r="E4" s="258" t="inlineStr">
        <is>
          <t>User confirms direction</t>
        </is>
      </c>
      <c r="F4" s="258" t="inlineStr">
        <is>
          <t>Workbook ready and first active step chosen</t>
        </is>
      </c>
      <c r="G4" s="258" t="inlineStr">
        <is>
          <t>Excel/ChatGPT</t>
        </is>
      </c>
      <c r="H4" s="258" t="inlineStr">
        <is>
          <t>In Progress</t>
        </is>
      </c>
      <c r="I4" s="258" t="inlineStr">
        <is>
          <t>This workbook is the continuity reference.</t>
        </is>
      </c>
      <c r="J4" s="257" t="n"/>
      <c r="K4" s="257" t="n"/>
      <c r="L4" s="257" t="n"/>
      <c r="M4" s="257" t="n"/>
      <c r="N4" s="257" t="n"/>
      <c r="O4" s="257" t="n"/>
      <c r="P4" s="257" t="n"/>
      <c r="Q4" s="257" t="n"/>
      <c r="R4" s="257" t="n"/>
      <c r="S4" s="257" t="n"/>
      <c r="T4" s="257" t="n"/>
      <c r="U4" s="257" t="n"/>
      <c r="V4" s="257" t="n"/>
      <c r="W4" s="257" t="n"/>
      <c r="X4" s="257" t="n"/>
      <c r="Y4" s="257" t="n"/>
      <c r="Z4" s="257" t="n"/>
    </row>
    <row r="5">
      <c r="A5" s="258" t="inlineStr">
        <is>
          <t>0.5</t>
        </is>
      </c>
      <c r="B5" s="258" t="inlineStr">
        <is>
          <t>GitHub + Codex Setup</t>
        </is>
      </c>
      <c r="C5" s="258" t="inlineStr">
        <is>
          <t>Move development workflow into GitHub with Codex task control</t>
        </is>
      </c>
      <c r="D5" s="258" t="inlineStr">
        <is>
          <t>Repository, AGENTS.md, README, workbook in docs/</t>
        </is>
      </c>
      <c r="E5" s="258" t="inlineStr">
        <is>
          <t>Workbook baseline available</t>
        </is>
      </c>
      <c r="F5" s="258" t="inlineStr">
        <is>
          <t>Repo can be opened by VS Code/Codex and pushed to GitHub</t>
        </is>
      </c>
      <c r="G5" s="258" t="inlineStr">
        <is>
          <t>GitHub, VS Code, Codex CLI/Cloud</t>
        </is>
      </c>
      <c r="H5" s="258" t="inlineStr">
        <is>
          <t>Not Started</t>
        </is>
      </c>
      <c r="I5" s="258" t="inlineStr">
        <is>
          <t>Added because user will develop using Codex on MacBook Pro M1 Max.</t>
        </is>
      </c>
      <c r="J5" s="257" t="n"/>
      <c r="K5" s="257" t="n"/>
      <c r="L5" s="257" t="n"/>
      <c r="M5" s="257" t="n"/>
      <c r="N5" s="257" t="n"/>
      <c r="O5" s="257" t="n"/>
      <c r="P5" s="257" t="n"/>
      <c r="Q5" s="257" t="n"/>
      <c r="R5" s="257" t="n"/>
      <c r="S5" s="257" t="n"/>
      <c r="T5" s="257" t="n"/>
      <c r="U5" s="257" t="n"/>
      <c r="V5" s="257" t="n"/>
      <c r="W5" s="257" t="n"/>
      <c r="X5" s="257" t="n"/>
      <c r="Y5" s="257" t="n"/>
      <c r="Z5" s="257" t="n"/>
    </row>
    <row r="6">
      <c r="A6" s="258" t="inlineStr">
        <is>
          <t>1</t>
        </is>
      </c>
      <c r="B6" s="258" t="inlineStr">
        <is>
          <t>Simulation Core</t>
        </is>
      </c>
      <c r="C6" s="258" t="inlineStr">
        <is>
          <t>Simulate 6 nodes and 2 gateways before hardware</t>
        </is>
      </c>
      <c r="D6" s="258" t="inlineStr">
        <is>
          <t>Python simulator with routing/failover logs</t>
        </is>
      </c>
      <c r="E6" s="258" t="inlineStr">
        <is>
          <t>GitHub/Codex setup done</t>
        </is>
      </c>
      <c r="F6" s="258" t="inlineStr">
        <is>
          <t>Message routing between Network A and B simulated</t>
        </is>
      </c>
      <c r="G6" s="258" t="inlineStr">
        <is>
          <t>VS Code, Codex, Python</t>
        </is>
      </c>
      <c r="H6" s="258" t="inlineStr">
        <is>
          <t>Not Started</t>
        </is>
      </c>
      <c r="I6" s="258" t="inlineStr">
        <is>
          <t>No hardware needed yet.</t>
        </is>
      </c>
      <c r="J6" s="257" t="n"/>
      <c r="K6" s="257" t="n"/>
      <c r="L6" s="257" t="n"/>
      <c r="M6" s="257" t="n"/>
      <c r="N6" s="257" t="n"/>
      <c r="O6" s="257" t="n"/>
      <c r="P6" s="257" t="n"/>
      <c r="Q6" s="257" t="n"/>
      <c r="R6" s="257" t="n"/>
      <c r="S6" s="257" t="n"/>
      <c r="T6" s="257" t="n"/>
      <c r="U6" s="257" t="n"/>
      <c r="V6" s="257" t="n"/>
      <c r="W6" s="257" t="n"/>
      <c r="X6" s="257" t="n"/>
      <c r="Y6" s="257" t="n"/>
      <c r="Z6" s="257" t="n"/>
    </row>
    <row r="7">
      <c r="A7" s="258" t="inlineStr">
        <is>
          <t>2</t>
        </is>
      </c>
      <c r="B7" s="258" t="inlineStr">
        <is>
          <t>ESP32 Simulation Firmware</t>
        </is>
      </c>
      <c r="C7" s="258" t="inlineStr">
        <is>
          <t>Start PlatformIO ESP32 code in simulation mode</t>
        </is>
      </c>
      <c r="D7" s="258" t="inlineStr">
        <is>
          <t>Buildable PlatformIO project</t>
        </is>
      </c>
      <c r="E7" s="258" t="inlineStr">
        <is>
          <t>Repo ready and packet format draft ready</t>
        </is>
      </c>
      <c r="F7" s="258" t="inlineStr">
        <is>
          <t>Node simulation builds and logs message state</t>
        </is>
      </c>
      <c r="G7" s="258" t="inlineStr">
        <is>
          <t>VS Code, PlatformIO, Codex</t>
        </is>
      </c>
      <c r="H7" s="258" t="inlineStr">
        <is>
          <t>Not Started</t>
        </is>
      </c>
      <c r="I7" s="258" t="inlineStr">
        <is>
          <t>Codex task C1.</t>
        </is>
      </c>
      <c r="J7" s="257" t="n"/>
      <c r="K7" s="257" t="n"/>
      <c r="L7" s="257" t="n"/>
      <c r="M7" s="257" t="n"/>
      <c r="N7" s="257" t="n"/>
      <c r="O7" s="257" t="n"/>
      <c r="P7" s="257" t="n"/>
      <c r="Q7" s="257" t="n"/>
      <c r="R7" s="257" t="n"/>
      <c r="S7" s="257" t="n"/>
      <c r="T7" s="257" t="n"/>
      <c r="U7" s="257" t="n"/>
      <c r="V7" s="257" t="n"/>
      <c r="W7" s="257" t="n"/>
      <c r="X7" s="257" t="n"/>
      <c r="Y7" s="257" t="n"/>
      <c r="Z7" s="257" t="n"/>
    </row>
    <row r="8">
      <c r="A8" s="258" t="inlineStr">
        <is>
          <t>3</t>
        </is>
      </c>
      <c r="B8" s="258" t="inlineStr">
        <is>
          <t>ESP32 LoRa Firmware</t>
        </is>
      </c>
      <c r="C8" s="258" t="inlineStr">
        <is>
          <t>Add SX1278 Ra-02 LoRa messaging</t>
        </is>
      </c>
      <c r="D8" s="258" t="inlineStr">
        <is>
          <t>Firmware for LoRa send/receive and ACK</t>
        </is>
      </c>
      <c r="E8" s="258" t="inlineStr">
        <is>
          <t>ESP32 simulation stable</t>
        </is>
      </c>
      <c r="F8" s="258" t="inlineStr">
        <is>
          <t>Physical node-to-node message send/ACK works</t>
        </is>
      </c>
      <c r="G8" s="258" t="inlineStr">
        <is>
          <t>ESP32, PlatformIO, Codex</t>
        </is>
      </c>
      <c r="H8" s="258" t="inlineStr">
        <is>
          <t>Not Started</t>
        </is>
      </c>
      <c r="I8" s="258" t="inlineStr">
        <is>
          <t>Start with 2 nodes, then 6.</t>
        </is>
      </c>
      <c r="J8" s="257" t="n"/>
      <c r="K8" s="257" t="n"/>
      <c r="L8" s="257" t="n"/>
      <c r="M8" s="257" t="n"/>
      <c r="N8" s="257" t="n"/>
      <c r="O8" s="257" t="n"/>
      <c r="P8" s="257" t="n"/>
      <c r="Q8" s="257" t="n"/>
      <c r="R8" s="257" t="n"/>
      <c r="S8" s="257" t="n"/>
      <c r="T8" s="257" t="n"/>
      <c r="U8" s="257" t="n"/>
      <c r="V8" s="257" t="n"/>
      <c r="W8" s="257" t="n"/>
      <c r="X8" s="257" t="n"/>
      <c r="Y8" s="257" t="n"/>
      <c r="Z8" s="257" t="n"/>
    </row>
    <row r="9">
      <c r="A9" s="258" t="inlineStr">
        <is>
          <t>4</t>
        </is>
      </c>
      <c r="B9" s="258" t="inlineStr">
        <is>
          <t>Raspberry Pi Gateway</t>
        </is>
      </c>
      <c r="C9" s="258" t="inlineStr">
        <is>
          <t>Build gateway service, dashboard, LoRa intake, primary Tailscale internet tunnel, and LoRa backup backhaul readiness</t>
        </is>
      </c>
      <c r="D9" s="258" t="inlineStr">
        <is>
          <t>Python service + Flask dashboard</t>
        </is>
      </c>
      <c r="E9" s="258" t="inlineStr">
        <is>
          <t>Protocol stable and STEP039 architecture finalized</t>
        </is>
      </c>
      <c r="F9" s="258" t="inlineStr">
        <is>
          <t>Gateway receives LoRa and relays remote messages over primary Tailscale tunnel with LoRa backup planned</t>
        </is>
      </c>
      <c r="G9" s="258" t="inlineStr">
        <is>
          <t>Raspberry Pi 3B, Python, Codex</t>
        </is>
      </c>
      <c r="H9" s="258" t="inlineStr">
        <is>
          <t>In Progress - STEP040B TCP relay validated; STEP041 serial bridge pending</t>
        </is>
      </c>
      <c r="I9" s="258" t="inlineStr">
        <is>
          <t>Direct LoRa module on Pi plus preferred Ethernet/WiFi internet uplink. Tailscale TCP relay validated on port 5050; ESP32 USB serial bridge remains next.</t>
        </is>
      </c>
      <c r="J9" s="257" t="n"/>
      <c r="K9" s="257" t="n"/>
      <c r="L9" s="257" t="n"/>
      <c r="M9" s="257" t="n"/>
      <c r="N9" s="257" t="n"/>
      <c r="O9" s="257" t="n"/>
      <c r="P9" s="257" t="n"/>
      <c r="Q9" s="257" t="n"/>
      <c r="R9" s="257" t="n"/>
      <c r="S9" s="257" t="n"/>
      <c r="T9" s="257" t="n"/>
      <c r="U9" s="257" t="n"/>
      <c r="V9" s="257" t="n"/>
      <c r="W9" s="257" t="n"/>
      <c r="X9" s="257" t="n"/>
      <c r="Y9" s="257" t="n"/>
      <c r="Z9" s="257" t="n"/>
    </row>
    <row r="10">
      <c r="A10" s="258" t="inlineStr">
        <is>
          <t>5</t>
        </is>
      </c>
      <c r="B10" s="258" t="inlineStr">
        <is>
          <t>5 Tailscale Primary + LoRa Backup Backhaul</t>
        </is>
      </c>
      <c r="C10" s="258" t="inlineStr">
        <is>
          <t>Connect gateways over primary Tailscale VPN tunnel, with long-range LoRa gateway backup if internet is unavailable</t>
        </is>
      </c>
      <c r="D10" s="258" t="inlineStr">
        <is>
          <t>Raspberry Pi 3B Gateway A &lt;-&gt; Tailscale VPN Tunnel over Internet &lt;-&gt; Raspberry Pi 3B Gateway B</t>
        </is>
      </c>
      <c r="E10" s="258" t="inlineStr">
        <is>
          <t>Gateway relay API/socket and peer status monitoring defined</t>
        </is>
      </c>
      <c r="F10" s="258" t="inlineStr">
        <is>
          <t>Network A can deliver to Network B through primary Tailscale tunnel, with LoRa gateway backup path planned</t>
        </is>
      </c>
      <c r="G10" s="258" t="inlineStr">
        <is>
          <t>Raspberry Pi 3B, Ethernet/WiFi internet, Tailscale, LoRa backup</t>
        </is>
      </c>
      <c r="H10" s="258" t="inlineStr">
        <is>
          <t>STEP040B TCP relay validated; LoRa backup planned</t>
        </is>
      </c>
      <c r="I10" s="258" t="inlineStr">
        <is>
          <t>Old WiFi router-to-router simulated satellite link removed; routers provide local internet/AP only. STEP041 serial bridge is next incomplete.</t>
        </is>
      </c>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inlineStr">
        <is>
          <t>6</t>
        </is>
      </c>
      <c r="B11" s="258" t="inlineStr">
        <is>
          <t>Failover/Recovery Test Logic</t>
        </is>
      </c>
      <c r="C11" s="258" t="inlineStr">
        <is>
          <t>Implement and validate DOCX acceptance logic</t>
        </is>
      </c>
      <c r="D11" s="258" t="inlineStr">
        <is>
          <t>State machine and test reports</t>
        </is>
      </c>
      <c r="E11" s="258" t="inlineStr">
        <is>
          <t>Simulation and gateway stable</t>
        </is>
      </c>
      <c r="F11" s="258" t="inlineStr">
        <is>
          <t>Pass baseline, degradation, failover, recovery tests</t>
        </is>
      </c>
      <c r="G11" s="258" t="inlineStr">
        <is>
          <t>Codex, Python, PlatformIO</t>
        </is>
      </c>
      <c r="H11" s="258" t="inlineStr">
        <is>
          <t>Not Started</t>
        </is>
      </c>
      <c r="I11" s="258" t="inlineStr">
        <is>
          <t>RSSI &lt; -78 dBm for 10s and stable 10s recovery.</t>
        </is>
      </c>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inlineStr">
        <is>
          <t>7</t>
        </is>
      </c>
      <c r="B12" s="258" t="inlineStr">
        <is>
          <t>Android Chat App</t>
        </is>
      </c>
      <c r="C12" s="258" t="inlineStr">
        <is>
          <t>Create Android messaging app</t>
        </is>
      </c>
      <c r="D12" s="258" t="inlineStr">
        <is>
          <t>Android Studio project</t>
        </is>
      </c>
      <c r="E12" s="258" t="inlineStr">
        <is>
          <t>Gateway/ESP32 protocol stable</t>
        </is>
      </c>
      <c r="F12" s="258" t="inlineStr">
        <is>
          <t>App sends/receives via selected transport</t>
        </is>
      </c>
      <c r="G12" s="258" t="inlineStr">
        <is>
          <t>Android Studio, Kotlin, Codex</t>
        </is>
      </c>
      <c r="H12" s="258" t="inlineStr">
        <is>
          <t>Not Started</t>
        </is>
      </c>
      <c r="I12" s="258" t="inlineStr">
        <is>
          <t>Manual Auto/LoRa/WiFi/GSM mode selection.</t>
        </is>
      </c>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inlineStr">
        <is>
          <t>8</t>
        </is>
      </c>
      <c r="B13" s="258" t="inlineStr">
        <is>
          <t>Integrated Test Campaign</t>
        </is>
      </c>
      <c r="C13" s="258" t="inlineStr">
        <is>
          <t>Validate acceptance criteria</t>
        </is>
      </c>
      <c r="D13" s="258" t="inlineStr">
        <is>
          <t>Signed test results and logs</t>
        </is>
      </c>
      <c r="E13" s="258" t="inlineStr">
        <is>
          <t>All components working</t>
        </is>
      </c>
      <c r="F13" s="258" t="inlineStr">
        <is>
          <t>PDR, failover, recovery, uptime targets measured</t>
        </is>
      </c>
      <c r="G13" s="258" t="inlineStr">
        <is>
          <t>Workbook + logs</t>
        </is>
      </c>
      <c r="H13" s="258" t="inlineStr">
        <is>
          <t>Not Started</t>
        </is>
      </c>
      <c r="I13" s="258" t="inlineStr">
        <is>
          <t>Update workbook after every passed step.</t>
        </is>
      </c>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33" t="inlineStr">
        <is>
          <t>Codex-Only Development Overlay</t>
        </is>
      </c>
      <c r="B16" s="233" t="str"/>
      <c r="C16" s="233" t="str"/>
      <c r="D16" s="233" t="str"/>
      <c r="E16" s="233" t="str"/>
      <c r="F16" s="233" t="str"/>
      <c r="G16" s="233" t="str"/>
      <c r="H16" s="233" t="str"/>
      <c r="I16" s="233" t="str"/>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41" t="inlineStr">
        <is>
          <t>Order</t>
        </is>
      </c>
      <c r="B18" s="241" t="inlineStr">
        <is>
          <t>Phase</t>
        </is>
      </c>
      <c r="C18" s="241" t="inlineStr">
        <is>
          <t>Primary tool</t>
        </is>
      </c>
      <c r="D18" s="241" t="inlineStr">
        <is>
          <t>Secondary tool</t>
        </is>
      </c>
      <c r="E18" s="241" t="inlineStr">
        <is>
          <t>Requires hardware</t>
        </is>
      </c>
      <c r="F18" s="241" t="inlineStr">
        <is>
          <t>Repo area</t>
        </is>
      </c>
      <c r="G18" s="241" t="inlineStr">
        <is>
          <t>Completion evidence</t>
        </is>
      </c>
      <c r="H18" s="241" t="inlineStr">
        <is>
          <t>Workbook sheet to update</t>
        </is>
      </c>
      <c r="I18" s="241" t="inlineStr">
        <is>
          <t>Status</t>
        </is>
      </c>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v>1</v>
      </c>
      <c r="B19" s="258" t="inlineStr">
        <is>
          <t>GitHub baseline</t>
        </is>
      </c>
      <c r="C19" s="258" t="inlineStr">
        <is>
          <t>Codex Web</t>
        </is>
      </c>
      <c r="D19" s="258" t="inlineStr">
        <is>
          <t>Codex CLI</t>
        </is>
      </c>
      <c r="E19" s="258" t="b">
        <v>0</v>
      </c>
      <c r="F19" s="258" t="inlineStr">
        <is>
          <t>repo root + docs</t>
        </is>
      </c>
      <c r="G19" s="258" t="inlineStr">
        <is>
          <t>Repo created and initial commit pushed</t>
        </is>
      </c>
      <c r="H19" s="258" t="inlineStr">
        <is>
          <t>Codex GitHub Workflow / Repo Structure</t>
        </is>
      </c>
      <c r="I19" s="258" t="inlineStr">
        <is>
          <t>Next</t>
        </is>
      </c>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v>2</v>
      </c>
      <c r="B20" s="258" t="inlineStr">
        <is>
          <t>ESP32 simulation</t>
        </is>
      </c>
      <c r="C20" s="258" t="inlineStr">
        <is>
          <t>Codex Web</t>
        </is>
      </c>
      <c r="D20" s="258" t="inlineStr">
        <is>
          <t>Codex CLI</t>
        </is>
      </c>
      <c r="E20" s="258" t="b">
        <v>0</v>
      </c>
      <c r="F20" s="258" t="inlineStr">
        <is>
          <t>esp32-node-platformio</t>
        </is>
      </c>
      <c r="G20" s="258" t="inlineStr">
        <is>
          <t>PlatformIO build log</t>
        </is>
      </c>
      <c r="H20" s="258" t="inlineStr">
        <is>
          <t>Detailed Steps / Progress Tracker</t>
        </is>
      </c>
      <c r="I20" s="258" t="inlineStr">
        <is>
          <t>Planned</t>
        </is>
      </c>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v>3</v>
      </c>
      <c r="B21" s="258" t="inlineStr">
        <is>
          <t>RPi gateway simulation</t>
        </is>
      </c>
      <c r="C21" s="258" t="inlineStr">
        <is>
          <t>Codex Web</t>
        </is>
      </c>
      <c r="D21" s="258" t="inlineStr">
        <is>
          <t>Codex CLI</t>
        </is>
      </c>
      <c r="E21" s="258" t="b">
        <v>0</v>
      </c>
      <c r="F21" s="258" t="inlineStr">
        <is>
          <t>rpi-gateway</t>
        </is>
      </c>
      <c r="G21" s="258" t="inlineStr">
        <is>
          <t>pytest/simulation log</t>
        </is>
      </c>
      <c r="H21" s="258" t="inlineStr">
        <is>
          <t>Simulation Plan / Progress Tracker</t>
        </is>
      </c>
      <c r="I21" s="258" t="inlineStr">
        <is>
          <t>Planned</t>
        </is>
      </c>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v>4</v>
      </c>
      <c r="B22" s="258" t="inlineStr">
        <is>
          <t>ESP32 LoRa + Bluetooth</t>
        </is>
      </c>
      <c r="C22" s="258" t="inlineStr">
        <is>
          <t>Codex Web</t>
        </is>
      </c>
      <c r="D22" s="258" t="inlineStr">
        <is>
          <t>Codex CLI</t>
        </is>
      </c>
      <c r="E22" s="258" t="b">
        <v>1</v>
      </c>
      <c r="F22" s="258" t="inlineStr">
        <is>
          <t>esp32-node-platformio</t>
        </is>
      </c>
      <c r="G22" s="258" t="inlineStr">
        <is>
          <t>Hardware test screenshots/logs</t>
        </is>
      </c>
      <c r="H22" s="258" t="inlineStr">
        <is>
          <t>Config Tracker / Issue Log</t>
        </is>
      </c>
      <c r="I22" s="258" t="inlineStr">
        <is>
          <t>Planned</t>
        </is>
      </c>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v>5</v>
      </c>
      <c r="B23" s="258" t="inlineStr">
        <is>
          <t>Gateway LoRa + WiFi routers</t>
        </is>
      </c>
      <c r="C23" s="258" t="inlineStr">
        <is>
          <t>Codex Web</t>
        </is>
      </c>
      <c r="D23" s="258" t="inlineStr">
        <is>
          <t>Codex CLI</t>
        </is>
      </c>
      <c r="E23" s="258" t="inlineStr">
        <is>
          <t>rpi-gateway</t>
        </is>
      </c>
      <c r="F23" s="258" t="inlineStr">
        <is>
          <t>Inter-gateway Tailscale relay test</t>
        </is>
      </c>
      <c r="G23" s="258" t="inlineStr">
        <is>
          <t>Test Campaign / Progress Tracker</t>
        </is>
      </c>
      <c r="H23" s="258" t="inlineStr">
        <is>
          <t>Planned - STEP039</t>
        </is>
      </c>
      <c r="I23" s="258" t="inlineStr">
        <is>
          <t>Planned</t>
        </is>
      </c>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v>6</v>
      </c>
      <c r="B24" s="258" t="inlineStr">
        <is>
          <t>Android app</t>
        </is>
      </c>
      <c r="C24" s="258" t="inlineStr">
        <is>
          <t>Codex Web</t>
        </is>
      </c>
      <c r="D24" s="258" t="inlineStr">
        <is>
          <t>Codex CLI + Android Studio</t>
        </is>
      </c>
      <c r="E24" s="258" t="b">
        <v>1</v>
      </c>
      <c r="F24" s="258" t="inlineStr">
        <is>
          <t>android-chat-app</t>
        </is>
      </c>
      <c r="G24" s="258" t="inlineStr">
        <is>
          <t>Build/app screenshots</t>
        </is>
      </c>
      <c r="H24" s="258" t="inlineStr">
        <is>
          <t>Android App Plan / Progress Tracker</t>
        </is>
      </c>
      <c r="I24" s="258" t="inlineStr">
        <is>
          <t>Planned</t>
        </is>
      </c>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3"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Z204"/>
  <sheetViews>
    <sheetView workbookViewId="0">
      <selection activeCell="A1" sqref="A1"/>
    </sheetView>
  </sheetViews>
  <sheetFormatPr baseColWidth="8" defaultRowHeight="15"/>
  <cols>
    <col width="18" customWidth="1" style="51" min="1" max="1"/>
    <col width="18" customWidth="1" style="51" min="2" max="2"/>
    <col width="18" customWidth="1" style="51" min="3" max="3"/>
    <col width="42" customWidth="1" style="51" min="4" max="4"/>
    <col width="34" customWidth="1" style="51" min="5" max="5"/>
    <col width="18" customWidth="1" style="51" min="6" max="6"/>
    <col width="18" customWidth="1" style="51" min="7" max="7"/>
    <col width="18" customWidth="1" style="51" min="8" max="8"/>
    <col width="18" customWidth="1" style="51" min="9" max="9"/>
    <col width="28" customWidth="1" style="51" min="10" max="10"/>
    <col width="24" customWidth="1" style="51" min="11" max="11"/>
    <col width="30" customWidth="1" style="51" min="12" max="12"/>
  </cols>
  <sheetData>
    <row r="1" ht="16.79999923706055" customHeight="1" s="51">
      <c r="A1" s="268" t="inlineStr">
        <is>
          <t>DETAILED STEP TRACKER - UPDATE AFTER EVERY COMPLETED STEP</t>
        </is>
      </c>
      <c r="B1" s="1" t="n"/>
      <c r="C1" s="1" t="n"/>
      <c r="D1" s="1" t="n"/>
      <c r="E1" s="1" t="n"/>
      <c r="F1" s="1" t="n"/>
      <c r="G1" s="1" t="n"/>
      <c r="H1" s="1" t="n"/>
      <c r="I1" s="1" t="n"/>
      <c r="J1" s="1" t="n"/>
      <c r="K1" s="1" t="n"/>
      <c r="L1" s="1" t="n"/>
      <c r="M1" s="257" t="n"/>
      <c r="N1" s="257" t="n"/>
      <c r="O1" s="257" t="n"/>
      <c r="P1" s="257" t="n"/>
      <c r="Q1" s="257" t="n"/>
      <c r="R1" s="257" t="n"/>
      <c r="S1" s="257" t="n"/>
      <c r="T1" s="257" t="n"/>
      <c r="U1" s="257" t="n"/>
      <c r="V1" s="257" t="n"/>
      <c r="W1" s="257" t="n"/>
      <c r="X1" s="257" t="n"/>
      <c r="Y1" s="257" t="n"/>
      <c r="Z1" s="257" t="n"/>
    </row>
    <row r="2" ht="15" customHeight="1" s="51">
      <c r="A2" s="191" t="inlineStr">
        <is>
          <t>Step ID</t>
        </is>
      </c>
      <c r="B2" s="191" t="inlineStr">
        <is>
          <t>Phase</t>
        </is>
      </c>
      <c r="C2" s="191" t="inlineStr">
        <is>
          <t>Stage</t>
        </is>
      </c>
      <c r="D2" s="191" t="inlineStr">
        <is>
          <t>Action / Procedure</t>
        </is>
      </c>
      <c r="E2" s="191" t="inlineStr">
        <is>
          <t>Validation / Expected Result</t>
        </is>
      </c>
      <c r="F2" s="191" t="inlineStr">
        <is>
          <t>Status</t>
        </is>
      </c>
      <c r="G2" s="191" t="inlineStr">
        <is>
          <t>Owner</t>
        </is>
      </c>
      <c r="H2" s="191" t="inlineStr">
        <is>
          <t>Date Started</t>
        </is>
      </c>
      <c r="I2" s="191" t="inlineStr">
        <is>
          <t>Date Completed</t>
        </is>
      </c>
      <c r="J2" s="191" t="inlineStr">
        <is>
          <t>Actual Result</t>
        </is>
      </c>
      <c r="K2" s="191" t="inlineStr">
        <is>
          <t>Evidence / File / Screenshot</t>
        </is>
      </c>
      <c r="L2" s="191" t="inlineStr">
        <is>
          <t>Notes</t>
        </is>
      </c>
      <c r="M2" s="257" t="n"/>
      <c r="N2" s="257" t="n"/>
      <c r="O2" s="257" t="n"/>
      <c r="P2" s="257" t="n"/>
      <c r="Q2" s="257" t="n"/>
      <c r="R2" s="257" t="n"/>
      <c r="S2" s="257" t="n"/>
      <c r="T2" s="257" t="n"/>
      <c r="U2" s="257" t="n"/>
      <c r="V2" s="257" t="n"/>
      <c r="W2" s="257" t="n"/>
      <c r="X2" s="257" t="n"/>
      <c r="Y2" s="257" t="n"/>
      <c r="Z2" s="257" t="n"/>
    </row>
    <row r="3" ht="15" customHeight="1" s="51">
      <c r="A3" s="258" t="inlineStr">
        <is>
          <t>0.1</t>
        </is>
      </c>
      <c r="B3" s="258" t="inlineStr">
        <is>
          <t>0 Baseline</t>
        </is>
      </c>
      <c r="C3" s="258" t="inlineStr">
        <is>
          <t>Workbook</t>
        </is>
      </c>
      <c r="D3" s="258" t="inlineStr">
        <is>
          <t>Review workbook sheets and confirm architecture</t>
        </is>
      </c>
      <c r="E3" s="258" t="inlineStr">
        <is>
          <t>Architecture accepted or edits listed</t>
        </is>
      </c>
      <c r="F3" s="258" t="inlineStr">
        <is>
          <t>In Progress</t>
        </is>
      </c>
      <c r="G3" s="258" t="inlineStr">
        <is>
          <t>User + ChatGPT</t>
        </is>
      </c>
      <c r="H3" s="258" t="str"/>
      <c r="I3" s="258" t="str"/>
      <c r="J3" s="258" t="str"/>
      <c r="K3" s="258" t="str"/>
      <c r="L3" s="258" t="str"/>
      <c r="M3" s="257" t="n"/>
      <c r="N3" s="257" t="n"/>
      <c r="O3" s="257" t="n"/>
      <c r="P3" s="257" t="n"/>
      <c r="Q3" s="257" t="n"/>
      <c r="R3" s="257" t="n"/>
      <c r="S3" s="257" t="n"/>
      <c r="T3" s="257" t="n"/>
      <c r="U3" s="257" t="n"/>
      <c r="V3" s="257" t="n"/>
      <c r="W3" s="257" t="n"/>
      <c r="X3" s="257" t="n"/>
      <c r="Y3" s="257" t="n"/>
      <c r="Z3" s="257" t="n"/>
    </row>
    <row r="4" ht="52.79999923706055" customHeight="1" s="51">
      <c r="A4" s="258" t="inlineStr">
        <is>
          <t>0.2</t>
        </is>
      </c>
      <c r="B4" s="258" t="inlineStr">
        <is>
          <t>0 Baseline</t>
        </is>
      </c>
      <c r="C4" s="258" t="inlineStr">
        <is>
          <t>Topology</t>
        </is>
      </c>
      <c r="D4" s="258" t="inlineStr">
        <is>
          <t>Confirm 6-node topology: Network A has 3 ESP32 LoRa nodes, Network B has 3 ESP32 LoRa nodes, each paired by Bluetooth to Android phone; each local MANET has one Raspberry Pi 3B gateway with LoRa module and LAN/WiFi internet for Tailscale VPN backhaul.</t>
        </is>
      </c>
      <c r="E4" s="258" t="inlineStr">
        <is>
          <t>Topology confirmed with RPi3B Gateway A &lt;-&gt; Tailscale VPN &lt;-&gt; RPi3B Gateway B design direction</t>
        </is>
      </c>
      <c r="F4" s="258" t="inlineStr">
        <is>
          <t>Not Started</t>
        </is>
      </c>
      <c r="G4" s="258" t="inlineStr">
        <is>
          <t>User + ChatGPT</t>
        </is>
      </c>
      <c r="H4" s="258" t="str"/>
      <c r="I4" s="258" t="str"/>
      <c r="J4" s="258" t="str"/>
      <c r="K4" s="258" t="str"/>
      <c r="L4" s="258" t="str"/>
      <c r="M4" s="257" t="n"/>
      <c r="N4" s="257" t="n"/>
      <c r="O4" s="257" t="n"/>
      <c r="P4" s="257" t="n"/>
      <c r="Q4" s="257" t="n"/>
      <c r="R4" s="257" t="n"/>
      <c r="S4" s="257" t="n"/>
      <c r="T4" s="257" t="n"/>
      <c r="U4" s="257" t="n"/>
      <c r="V4" s="257" t="n"/>
      <c r="W4" s="257" t="n"/>
      <c r="X4" s="257" t="n"/>
      <c r="Y4" s="257" t="n"/>
      <c r="Z4" s="257" t="n"/>
    </row>
    <row r="5" ht="26.39999961853027" customHeight="1" s="51">
      <c r="A5" s="258" t="inlineStr">
        <is>
          <t>0.3</t>
        </is>
      </c>
      <c r="B5" s="258" t="inlineStr">
        <is>
          <t>0 Baseline</t>
        </is>
      </c>
      <c r="C5" s="258" t="inlineStr">
        <is>
          <t>Frequency</t>
        </is>
      </c>
      <c r="D5" s="258" t="inlineStr">
        <is>
          <t>Confirm prototype frequency and power setting for SX1278 Ra-02 433 MHz</t>
        </is>
      </c>
      <c r="E5" s="258" t="inlineStr">
        <is>
          <t>Selected LoRa settings documented</t>
        </is>
      </c>
      <c r="F5" s="258" t="inlineStr">
        <is>
          <t>Not Started</t>
        </is>
      </c>
      <c r="G5" s="258" t="inlineStr">
        <is>
          <t>User</t>
        </is>
      </c>
      <c r="H5" s="258" t="str"/>
      <c r="I5" s="258" t="str"/>
      <c r="J5" s="258" t="str"/>
      <c r="K5" s="258" t="str"/>
      <c r="L5" s="258" t="str"/>
      <c r="M5" s="257" t="n"/>
      <c r="N5" s="257" t="n"/>
      <c r="O5" s="257" t="n"/>
      <c r="P5" s="257" t="n"/>
      <c r="Q5" s="257" t="n"/>
      <c r="R5" s="257" t="n"/>
      <c r="S5" s="257" t="n"/>
      <c r="T5" s="257" t="n"/>
      <c r="U5" s="257" t="n"/>
      <c r="V5" s="257" t="n"/>
      <c r="W5" s="257" t="n"/>
      <c r="X5" s="257" t="n"/>
      <c r="Y5" s="257" t="n"/>
      <c r="Z5" s="257" t="n"/>
    </row>
    <row r="6" ht="26.39999961853027" customHeight="1" s="51">
      <c r="A6" s="258" t="inlineStr">
        <is>
          <t>0.4</t>
        </is>
      </c>
      <c r="B6" s="258" t="inlineStr">
        <is>
          <t>0.5 GitHub/Codex</t>
        </is>
      </c>
      <c r="C6" s="258" t="inlineStr">
        <is>
          <t>Repository</t>
        </is>
      </c>
      <c r="D6" s="258" t="inlineStr">
        <is>
          <t>Create GitHub repository pup-manet-emergency-messaging</t>
        </is>
      </c>
      <c r="E6" s="258" t="inlineStr">
        <is>
          <t>Repo exists and is accessible</t>
        </is>
      </c>
      <c r="F6" s="258" t="inlineStr">
        <is>
          <t>Not Started</t>
        </is>
      </c>
      <c r="G6" s="258" t="inlineStr">
        <is>
          <t>User</t>
        </is>
      </c>
      <c r="H6" s="258" t="str"/>
      <c r="I6" s="258" t="str"/>
      <c r="J6" s="258" t="str"/>
      <c r="K6" s="258" t="inlineStr">
        <is>
          <t>Repo URL</t>
        </is>
      </c>
      <c r="L6" s="258" t="str"/>
      <c r="M6" s="257" t="n"/>
      <c r="N6" s="257" t="n"/>
      <c r="O6" s="257" t="n"/>
      <c r="P6" s="257" t="n"/>
      <c r="Q6" s="257" t="n"/>
      <c r="R6" s="257" t="n"/>
      <c r="S6" s="257" t="n"/>
      <c r="T6" s="257" t="n"/>
      <c r="U6" s="257" t="n"/>
      <c r="V6" s="257" t="n"/>
      <c r="W6" s="257" t="n"/>
      <c r="X6" s="257" t="n"/>
      <c r="Y6" s="257" t="n"/>
      <c r="Z6" s="257" t="n"/>
    </row>
    <row r="7" ht="26.39999961853027" customHeight="1" s="51">
      <c r="A7" s="258" t="inlineStr">
        <is>
          <t>0.5</t>
        </is>
      </c>
      <c r="B7" s="258" t="inlineStr">
        <is>
          <t>0.5 GitHub/Codex</t>
        </is>
      </c>
      <c r="C7" s="258" t="inlineStr">
        <is>
          <t>Local Clone</t>
        </is>
      </c>
      <c r="D7" s="258" t="inlineStr">
        <is>
          <t>Clone repo on MacBook Pro M1 Max and open in VS Code</t>
        </is>
      </c>
      <c r="E7" s="258" t="inlineStr">
        <is>
          <t>Repo opens locally; git status clean</t>
        </is>
      </c>
      <c r="F7" s="258" t="inlineStr">
        <is>
          <t>Not Started</t>
        </is>
      </c>
      <c r="G7" s="258" t="inlineStr">
        <is>
          <t>User</t>
        </is>
      </c>
      <c r="H7" s="258" t="str"/>
      <c r="I7" s="258" t="str"/>
      <c r="J7" s="258" t="str"/>
      <c r="K7" s="258" t="inlineStr">
        <is>
          <t>Terminal output</t>
        </is>
      </c>
      <c r="L7" s="258" t="str"/>
      <c r="M7" s="257" t="n"/>
      <c r="N7" s="257" t="n"/>
      <c r="O7" s="257" t="n"/>
      <c r="P7" s="257" t="n"/>
      <c r="Q7" s="257" t="n"/>
      <c r="R7" s="257" t="n"/>
      <c r="S7" s="257" t="n"/>
      <c r="T7" s="257" t="n"/>
      <c r="U7" s="257" t="n"/>
      <c r="V7" s="257" t="n"/>
      <c r="W7" s="257" t="n"/>
      <c r="X7" s="257" t="n"/>
      <c r="Y7" s="257" t="n"/>
      <c r="Z7" s="257" t="n"/>
    </row>
    <row r="8" ht="52.79999923706055" customHeight="1" s="51">
      <c r="A8" s="258" t="inlineStr">
        <is>
          <t>0.6</t>
        </is>
      </c>
      <c r="B8" s="258" t="inlineStr">
        <is>
          <t>0.5 GitHub/Codex</t>
        </is>
      </c>
      <c r="C8" s="258" t="inlineStr">
        <is>
          <t>Repo Structure</t>
        </is>
      </c>
      <c r="D8" s="258" t="inlineStr">
        <is>
          <t>Create required folders: esp32-node-platformio, rpi-gateway, android-chat-app, docs/workbook, docs/diagrams, docs/test-procedures, docs/codex-prompts</t>
        </is>
      </c>
      <c r="E8" s="258" t="inlineStr">
        <is>
          <t>Folders exist</t>
        </is>
      </c>
      <c r="F8" s="258" t="inlineStr">
        <is>
          <t>Not Started</t>
        </is>
      </c>
      <c r="G8" s="258" t="inlineStr">
        <is>
          <t>User + Codex</t>
        </is>
      </c>
      <c r="H8" s="258" t="str"/>
      <c r="I8" s="258" t="str"/>
      <c r="J8" s="258" t="str"/>
      <c r="K8" s="258" t="inlineStr">
        <is>
          <t>tree output</t>
        </is>
      </c>
      <c r="L8" s="258" t="inlineStr">
        <is>
          <t>Use Codex task C0 or manual setup.</t>
        </is>
      </c>
      <c r="M8" s="257" t="n"/>
      <c r="N8" s="257" t="n"/>
      <c r="O8" s="257" t="n"/>
      <c r="P8" s="257" t="n"/>
      <c r="Q8" s="257" t="n"/>
      <c r="R8" s="257" t="n"/>
      <c r="S8" s="257" t="n"/>
      <c r="T8" s="257" t="n"/>
      <c r="U8" s="257" t="n"/>
      <c r="V8" s="257" t="n"/>
      <c r="W8" s="257" t="n"/>
      <c r="X8" s="257" t="n"/>
      <c r="Y8" s="257" t="n"/>
      <c r="Z8" s="257" t="n"/>
    </row>
    <row r="9" ht="26.39999961853027" customHeight="1" s="51">
      <c r="A9" s="258" t="inlineStr">
        <is>
          <t>0.7</t>
        </is>
      </c>
      <c r="B9" s="258" t="inlineStr">
        <is>
          <t>0.5 GitHub/Codex</t>
        </is>
      </c>
      <c r="C9" s="258" t="inlineStr">
        <is>
          <t>AGENTS.md</t>
        </is>
      </c>
      <c r="D9" s="258" t="inlineStr">
        <is>
          <t>Add repository AGENTS.md with project rules for Codex</t>
        </is>
      </c>
      <c r="E9" s="258" t="inlineStr">
        <is>
          <t>Codex instructions file exists</t>
        </is>
      </c>
      <c r="F9" s="258" t="inlineStr">
        <is>
          <t>Not Started</t>
        </is>
      </c>
      <c r="G9" s="258" t="inlineStr">
        <is>
          <t>Codex/User</t>
        </is>
      </c>
      <c r="H9" s="258" t="str"/>
      <c r="I9" s="258" t="str"/>
      <c r="J9" s="258" t="str"/>
      <c r="K9" s="258" t="inlineStr">
        <is>
          <t>File path + commit hash</t>
        </is>
      </c>
      <c r="L9" s="258" t="inlineStr">
        <is>
          <t>Must require workbook step reference for all tasks.</t>
        </is>
      </c>
      <c r="M9" s="257" t="n"/>
      <c r="N9" s="257" t="n"/>
      <c r="O9" s="257" t="n"/>
      <c r="P9" s="257" t="n"/>
      <c r="Q9" s="257" t="n"/>
      <c r="R9" s="257" t="n"/>
      <c r="S9" s="257" t="n"/>
      <c r="T9" s="257" t="n"/>
      <c r="U9" s="257" t="n"/>
      <c r="V9" s="257" t="n"/>
      <c r="W9" s="257" t="n"/>
      <c r="X9" s="257" t="n"/>
      <c r="Y9" s="257" t="n"/>
      <c r="Z9" s="257" t="n"/>
    </row>
    <row r="10" ht="26.39999961853027" customHeight="1" s="51">
      <c r="A10" s="258" t="inlineStr">
        <is>
          <t>0.8</t>
        </is>
      </c>
      <c r="B10" s="258" t="inlineStr">
        <is>
          <t>0.5 GitHub/Codex</t>
        </is>
      </c>
      <c r="C10" s="258" t="inlineStr">
        <is>
          <t>Workbook Commit</t>
        </is>
      </c>
      <c r="D10" s="258" t="inlineStr">
        <is>
          <t>Copy latest workbook and diagrams into docs folder and commit to GitHub</t>
        </is>
      </c>
      <c r="E10" s="258" t="inlineStr">
        <is>
          <t>Workbook and diagrams are versioned</t>
        </is>
      </c>
      <c r="F10" s="258" t="inlineStr">
        <is>
          <t>Not Started</t>
        </is>
      </c>
      <c r="G10" s="258" t="inlineStr">
        <is>
          <t>User</t>
        </is>
      </c>
      <c r="H10" s="258" t="str"/>
      <c r="I10" s="258" t="str"/>
      <c r="J10" s="258" t="str"/>
      <c r="K10" s="258" t="inlineStr">
        <is>
          <t>Commit hash</t>
        </is>
      </c>
      <c r="L10" s="258" t="inlineStr">
        <is>
          <t>This workbook must be updated after every completed step.</t>
        </is>
      </c>
      <c r="M10" s="257" t="n"/>
      <c r="N10" s="257" t="n"/>
      <c r="O10" s="257" t="n"/>
      <c r="P10" s="257" t="n"/>
      <c r="Q10" s="257" t="n"/>
      <c r="R10" s="257" t="n"/>
      <c r="S10" s="257" t="n"/>
      <c r="T10" s="257" t="n"/>
      <c r="U10" s="257" t="n"/>
      <c r="V10" s="257" t="n"/>
      <c r="W10" s="257" t="n"/>
      <c r="X10" s="257" t="n"/>
      <c r="Y10" s="257" t="n"/>
      <c r="Z10" s="257" t="n"/>
    </row>
    <row r="11" ht="26.39999961853027" customHeight="1" s="51">
      <c r="A11" s="258" t="inlineStr">
        <is>
          <t>0.9</t>
        </is>
      </c>
      <c r="B11" s="258" t="inlineStr">
        <is>
          <t>0.5 GitHub/Codex</t>
        </is>
      </c>
      <c r="C11" s="258" t="inlineStr">
        <is>
          <t>Codex Test Task</t>
        </is>
      </c>
      <c r="D11" s="258" t="inlineStr">
        <is>
          <t>Run small Codex task to update README only</t>
        </is>
      </c>
      <c r="E11" s="258" t="inlineStr">
        <is>
          <t>Codex completes task without touching unrelated files</t>
        </is>
      </c>
      <c r="F11" s="258" t="inlineStr">
        <is>
          <t>Not Started</t>
        </is>
      </c>
      <c r="G11" s="258" t="inlineStr">
        <is>
          <t>User + Codex</t>
        </is>
      </c>
      <c r="H11" s="258" t="str"/>
      <c r="I11" s="258" t="str"/>
      <c r="J11" s="258" t="str"/>
      <c r="K11" s="258" t="inlineStr">
        <is>
          <t>Codex task link or terminal output</t>
        </is>
      </c>
      <c r="L11" s="258" t="inlineStr">
        <is>
          <t>Confirms Codex workflow before code development.</t>
        </is>
      </c>
      <c r="M11" s="257" t="n"/>
      <c r="N11" s="257" t="n"/>
      <c r="O11" s="257" t="n"/>
      <c r="P11" s="257" t="n"/>
      <c r="Q11" s="257" t="n"/>
      <c r="R11" s="257" t="n"/>
      <c r="S11" s="257" t="n"/>
      <c r="T11" s="257" t="n"/>
      <c r="U11" s="257" t="n"/>
      <c r="V11" s="257" t="n"/>
      <c r="W11" s="257" t="n"/>
      <c r="X11" s="257" t="n"/>
      <c r="Y11" s="257" t="n"/>
      <c r="Z11" s="257" t="n"/>
    </row>
    <row r="12" ht="26.39999961853027" customHeight="1" s="51">
      <c r="A12" s="258" t="inlineStr">
        <is>
          <t>1.1</t>
        </is>
      </c>
      <c r="B12" s="258" t="inlineStr">
        <is>
          <t>1 Simulation</t>
        </is>
      </c>
      <c r="C12" s="258" t="inlineStr">
        <is>
          <t>Packet Model</t>
        </is>
      </c>
      <c r="D12" s="258" t="inlineStr">
        <is>
          <t>Create JSON packet model for message, ACK, HELLO, route advert, gateway advert</t>
        </is>
      </c>
      <c r="E12" s="258" t="inlineStr">
        <is>
          <t>Simulator accepts packet schema</t>
        </is>
      </c>
      <c r="F12" s="258" t="inlineStr">
        <is>
          <t>Not Started</t>
        </is>
      </c>
      <c r="G12" s="258" t="inlineStr">
        <is>
          <t>Codex</t>
        </is>
      </c>
      <c r="H12" s="258" t="str"/>
      <c r="I12" s="258" t="str"/>
      <c r="J12" s="258" t="str"/>
      <c r="K12" s="258" t="inlineStr">
        <is>
          <t>PR/commit + test log</t>
        </is>
      </c>
      <c r="L12" s="258" t="str"/>
      <c r="M12" s="257" t="n"/>
      <c r="N12" s="257" t="n"/>
      <c r="O12" s="257" t="n"/>
      <c r="P12" s="257" t="n"/>
      <c r="Q12" s="257" t="n"/>
      <c r="R12" s="257" t="n"/>
      <c r="S12" s="257" t="n"/>
      <c r="T12" s="257" t="n"/>
      <c r="U12" s="257" t="n"/>
      <c r="V12" s="257" t="n"/>
      <c r="W12" s="257" t="n"/>
      <c r="X12" s="257" t="n"/>
      <c r="Y12" s="257" t="n"/>
      <c r="Z12" s="257" t="n"/>
    </row>
    <row r="13" ht="26.39999961853027" customHeight="1" s="51">
      <c r="A13" s="258" t="inlineStr">
        <is>
          <t>1.2</t>
        </is>
      </c>
      <c r="B13" s="258" t="inlineStr">
        <is>
          <t>1 Simulation</t>
        </is>
      </c>
      <c r="C13" s="258" t="inlineStr">
        <is>
          <t>Six Nodes</t>
        </is>
      </c>
      <c r="D13" s="258" t="inlineStr">
        <is>
          <t>Simulate six nodes: A1-A3 and B1-B3 with two gateways GWA/GWB</t>
        </is>
      </c>
      <c r="E13" s="258" t="inlineStr">
        <is>
          <t>All simulated nodes appear in log</t>
        </is>
      </c>
      <c r="F13" s="258" t="inlineStr">
        <is>
          <t>Not Started</t>
        </is>
      </c>
      <c r="G13" s="258" t="inlineStr">
        <is>
          <t>Codex</t>
        </is>
      </c>
      <c r="H13" s="258" t="str"/>
      <c r="I13" s="258" t="str"/>
      <c r="J13" s="258" t="str"/>
      <c r="K13" s="258" t="inlineStr">
        <is>
          <t>Test log</t>
        </is>
      </c>
      <c r="L13" s="258" t="str"/>
      <c r="M13" s="257" t="n"/>
      <c r="N13" s="257" t="n"/>
      <c r="O13" s="257" t="n"/>
      <c r="P13" s="257" t="n"/>
      <c r="Q13" s="257" t="n"/>
      <c r="R13" s="257" t="n"/>
      <c r="S13" s="257" t="n"/>
      <c r="T13" s="257" t="n"/>
      <c r="U13" s="257" t="n"/>
      <c r="V13" s="257" t="n"/>
      <c r="W13" s="257" t="n"/>
      <c r="X13" s="257" t="n"/>
      <c r="Y13" s="257" t="n"/>
      <c r="Z13" s="257" t="n"/>
    </row>
    <row r="14" ht="26.39999961853027" customHeight="1" s="51">
      <c r="A14" s="258" t="inlineStr">
        <is>
          <t>1.3</t>
        </is>
      </c>
      <c r="B14" s="258" t="inlineStr">
        <is>
          <t>1 Simulation</t>
        </is>
      </c>
      <c r="C14" s="258" t="inlineStr">
        <is>
          <t>Local Delivery</t>
        </is>
      </c>
      <c r="D14" s="258" t="inlineStr">
        <is>
          <t>Send message from A1 to A2 and A3 through simulated local routing</t>
        </is>
      </c>
      <c r="E14" s="258" t="inlineStr">
        <is>
          <t>Message delivered with ACK</t>
        </is>
      </c>
      <c r="F14" s="258" t="inlineStr">
        <is>
          <t>Not Started</t>
        </is>
      </c>
      <c r="G14" s="258" t="inlineStr">
        <is>
          <t>Codex/User</t>
        </is>
      </c>
      <c r="H14" s="258" t="str"/>
      <c r="I14" s="258" t="str"/>
      <c r="J14" s="258" t="str"/>
      <c r="K14" s="258" t="inlineStr">
        <is>
          <t>Simulation log</t>
        </is>
      </c>
      <c r="L14" s="258" t="str"/>
      <c r="M14" s="257" t="n"/>
      <c r="N14" s="257" t="n"/>
      <c r="O14" s="257" t="n"/>
      <c r="P14" s="257" t="n"/>
      <c r="Q14" s="257" t="n"/>
      <c r="R14" s="257" t="n"/>
      <c r="S14" s="257" t="n"/>
      <c r="T14" s="257" t="n"/>
      <c r="U14" s="257" t="n"/>
      <c r="V14" s="257" t="n"/>
      <c r="W14" s="257" t="n"/>
      <c r="X14" s="257" t="n"/>
      <c r="Y14" s="257" t="n"/>
      <c r="Z14" s="257" t="n"/>
    </row>
    <row r="15" ht="26.39999961853027" customHeight="1" s="51">
      <c r="A15" s="258" t="inlineStr">
        <is>
          <t>1.4</t>
        </is>
      </c>
      <c r="B15" s="258" t="inlineStr">
        <is>
          <t>1 Simulation</t>
        </is>
      </c>
      <c r="C15" s="258" t="inlineStr">
        <is>
          <t>Cross Network Delivery</t>
        </is>
      </c>
      <c r="D15" s="258" t="inlineStr">
        <is>
          <t>Send message from A1 to B1 via Gateway A -&gt; Tailscale VPN over internet -&gt; Gateway B</t>
        </is>
      </c>
      <c r="E15" s="258" t="inlineStr">
        <is>
          <t>Message reaches remote network with ordered delivery over gateway VPN backhaul</t>
        </is>
      </c>
      <c r="F15" s="258" t="inlineStr">
        <is>
          <t>Not Started</t>
        </is>
      </c>
      <c r="G15" s="258" t="inlineStr">
        <is>
          <t>Codex/User</t>
        </is>
      </c>
      <c r="H15" s="258" t="str"/>
      <c r="I15" s="258" t="str"/>
      <c r="J15" s="258" t="str"/>
      <c r="K15" s="258" t="inlineStr">
        <is>
          <t>Simulation or gateway log</t>
        </is>
      </c>
      <c r="L15" s="258" t="inlineStr">
        <is>
          <t>Updated design replaces WiFi router-to-router simulated satellite path with Tailscale gateway backhaul.</t>
        </is>
      </c>
      <c r="M15" s="257" t="n"/>
      <c r="N15" s="257" t="n"/>
      <c r="O15" s="257" t="n"/>
      <c r="P15" s="257" t="n"/>
      <c r="Q15" s="257" t="n"/>
      <c r="R15" s="257" t="n"/>
      <c r="S15" s="257" t="n"/>
      <c r="T15" s="257" t="n"/>
      <c r="U15" s="257" t="n"/>
      <c r="V15" s="257" t="n"/>
      <c r="W15" s="257" t="n"/>
      <c r="X15" s="257" t="n"/>
      <c r="Y15" s="257" t="n"/>
      <c r="Z15" s="257" t="n"/>
    </row>
    <row r="16" ht="15" customHeight="1" s="51">
      <c r="A16" s="258" t="inlineStr">
        <is>
          <t>1.5</t>
        </is>
      </c>
      <c r="B16" s="258" t="inlineStr">
        <is>
          <t>1 Simulation</t>
        </is>
      </c>
      <c r="C16" s="258" t="inlineStr">
        <is>
          <t>Degradation Detection</t>
        </is>
      </c>
      <c r="D16" s="258" t="inlineStr">
        <is>
          <t>Simulate RSSI below -78 dBm for 10 seconds</t>
        </is>
      </c>
      <c r="E16" s="258" t="inlineStr">
        <is>
          <t>System changes to degraded/failover state</t>
        </is>
      </c>
      <c r="F16" s="258" t="inlineStr">
        <is>
          <t>Not Started</t>
        </is>
      </c>
      <c r="G16" s="258" t="inlineStr">
        <is>
          <t>Codex/User</t>
        </is>
      </c>
      <c r="H16" s="258" t="str"/>
      <c r="I16" s="258" t="str"/>
      <c r="J16" s="258" t="str"/>
      <c r="K16" s="258" t="inlineStr">
        <is>
          <t>Timestamped logs</t>
        </is>
      </c>
      <c r="L16" s="258" t="inlineStr">
        <is>
          <t>DOCX test alignment.</t>
        </is>
      </c>
      <c r="M16" s="257" t="n"/>
      <c r="N16" s="257" t="n"/>
      <c r="O16" s="257" t="n"/>
      <c r="P16" s="257" t="n"/>
      <c r="Q16" s="257" t="n"/>
      <c r="R16" s="257" t="n"/>
      <c r="S16" s="257" t="n"/>
      <c r="T16" s="257" t="n"/>
      <c r="U16" s="257" t="n"/>
      <c r="V16" s="257" t="n"/>
      <c r="W16" s="257" t="n"/>
      <c r="X16" s="257" t="n"/>
      <c r="Y16" s="257" t="n"/>
      <c r="Z16" s="257" t="n"/>
    </row>
    <row r="17" ht="26.39999961853027" customHeight="1" s="51">
      <c r="A17" s="258" t="inlineStr">
        <is>
          <t>1.6</t>
        </is>
      </c>
      <c r="B17" s="258" t="inlineStr">
        <is>
          <t>1 Simulation</t>
        </is>
      </c>
      <c r="C17" s="258" t="inlineStr">
        <is>
          <t>Recovery Detection</t>
        </is>
      </c>
      <c r="D17" s="258" t="inlineStr">
        <is>
          <t>Simulate stable MANET link for 10 seconds and return to MANET within 5 seconds</t>
        </is>
      </c>
      <c r="E17" s="258" t="inlineStr">
        <is>
          <t>Recovery succeeds with no message loss</t>
        </is>
      </c>
      <c r="F17" s="258" t="inlineStr">
        <is>
          <t>Not Started</t>
        </is>
      </c>
      <c r="G17" s="258" t="inlineStr">
        <is>
          <t>Codex/User</t>
        </is>
      </c>
      <c r="H17" s="258" t="str"/>
      <c r="I17" s="258" t="str"/>
      <c r="J17" s="258" t="str"/>
      <c r="K17" s="258" t="inlineStr">
        <is>
          <t>Timestamped logs</t>
        </is>
      </c>
      <c r="L17" s="258" t="inlineStr">
        <is>
          <t>DOCX test alignment.</t>
        </is>
      </c>
      <c r="M17" s="257" t="n"/>
      <c r="N17" s="257" t="n"/>
      <c r="O17" s="257" t="n"/>
      <c r="P17" s="257" t="n"/>
      <c r="Q17" s="257" t="n"/>
      <c r="R17" s="257" t="n"/>
      <c r="S17" s="257" t="n"/>
      <c r="T17" s="257" t="n"/>
      <c r="U17" s="257" t="n"/>
      <c r="V17" s="257" t="n"/>
      <c r="W17" s="257" t="n"/>
      <c r="X17" s="257" t="n"/>
      <c r="Y17" s="257" t="n"/>
      <c r="Z17" s="257" t="n"/>
    </row>
    <row r="18" ht="15" customHeight="1" s="51">
      <c r="A18" s="258" t="inlineStr">
        <is>
          <t>2.1</t>
        </is>
      </c>
      <c r="B18" s="258" t="inlineStr">
        <is>
          <t>2 ESP32 Sim</t>
        </is>
      </c>
      <c r="C18" s="258" t="inlineStr">
        <is>
          <t>PlatformIO Project</t>
        </is>
      </c>
      <c r="D18" s="258" t="inlineStr">
        <is>
          <t>Create ESP32 PlatformIO project in simulation mode</t>
        </is>
      </c>
      <c r="E18" s="258" t="inlineStr">
        <is>
          <t>pio run succeeds</t>
        </is>
      </c>
      <c r="F18" s="258" t="inlineStr">
        <is>
          <t>Not Started</t>
        </is>
      </c>
      <c r="G18" s="258" t="inlineStr">
        <is>
          <t>Codex</t>
        </is>
      </c>
      <c r="H18" s="258" t="str"/>
      <c r="I18" s="258" t="str"/>
      <c r="J18" s="258" t="str"/>
      <c r="K18" s="258" t="inlineStr">
        <is>
          <t>Build log</t>
        </is>
      </c>
      <c r="L18" s="258" t="inlineStr">
        <is>
          <t>Use Codex task C1.</t>
        </is>
      </c>
      <c r="M18" s="257" t="n"/>
      <c r="N18" s="257" t="n"/>
      <c r="O18" s="257" t="n"/>
      <c r="P18" s="257" t="n"/>
      <c r="Q18" s="257" t="n"/>
      <c r="R18" s="257" t="n"/>
      <c r="S18" s="257" t="n"/>
      <c r="T18" s="257" t="n"/>
      <c r="U18" s="257" t="n"/>
      <c r="V18" s="257" t="n"/>
      <c r="W18" s="257" t="n"/>
      <c r="X18" s="257" t="n"/>
      <c r="Y18" s="257" t="n"/>
      <c r="Z18" s="257" t="n"/>
    </row>
    <row r="19" ht="26.39999961853027" customHeight="1" s="51">
      <c r="A19" s="258" t="inlineStr">
        <is>
          <t>2.2</t>
        </is>
      </c>
      <c r="B19" s="258" t="inlineStr">
        <is>
          <t>2 ESP32 Sim</t>
        </is>
      </c>
      <c r="C19" s="258" t="inlineStr">
        <is>
          <t>Serial Debug</t>
        </is>
      </c>
      <c r="D19" s="258" t="inlineStr">
        <is>
          <t>Print node ID, mode, queue status, and simulated link state to Serial Monitor</t>
        </is>
      </c>
      <c r="E19" s="258" t="inlineStr">
        <is>
          <t>Readable serial output</t>
        </is>
      </c>
      <c r="F19" s="258" t="inlineStr">
        <is>
          <t>Not Started</t>
        </is>
      </c>
      <c r="G19" s="258" t="inlineStr">
        <is>
          <t>Codex/User</t>
        </is>
      </c>
      <c r="H19" s="258" t="str"/>
      <c r="I19" s="258" t="str"/>
      <c r="J19" s="258" t="str"/>
      <c r="K19" s="258" t="inlineStr">
        <is>
          <t>Serial screenshot</t>
        </is>
      </c>
      <c r="L19" s="258" t="str"/>
      <c r="M19" s="257" t="n"/>
      <c r="N19" s="257" t="n"/>
      <c r="O19" s="257" t="n"/>
      <c r="P19" s="257" t="n"/>
      <c r="Q19" s="257" t="n"/>
      <c r="R19" s="257" t="n"/>
      <c r="S19" s="257" t="n"/>
      <c r="T19" s="257" t="n"/>
      <c r="U19" s="257" t="n"/>
      <c r="V19" s="257" t="n"/>
      <c r="W19" s="257" t="n"/>
      <c r="X19" s="257" t="n"/>
      <c r="Y19" s="257" t="n"/>
      <c r="Z19" s="257" t="n"/>
    </row>
    <row r="20" ht="26.39999961853027" customHeight="1" s="51">
      <c r="A20" s="258" t="inlineStr">
        <is>
          <t>3.1</t>
        </is>
      </c>
      <c r="B20" s="258" t="inlineStr">
        <is>
          <t>3 ESP32 LoRa</t>
        </is>
      </c>
      <c r="C20" s="258" t="inlineStr">
        <is>
          <t>LoRa Wiring Doc</t>
        </is>
      </c>
      <c r="D20" s="258" t="inlineStr">
        <is>
          <t>Document ESP32-to-SX1278 Ra-02 wiring and pin configuration</t>
        </is>
      </c>
      <c r="E20" s="258" t="inlineStr">
        <is>
          <t>Wiring sheet/config updated</t>
        </is>
      </c>
      <c r="F20" s="258" t="inlineStr">
        <is>
          <t>Not Started</t>
        </is>
      </c>
      <c r="G20" s="258" t="inlineStr">
        <is>
          <t>Codex/User</t>
        </is>
      </c>
      <c r="H20" s="258" t="str"/>
      <c r="I20" s="258" t="str"/>
      <c r="J20" s="258" t="str"/>
      <c r="K20" s="258" t="inlineStr">
        <is>
          <t>Wiring doc</t>
        </is>
      </c>
      <c r="L20" s="258" t="str"/>
      <c r="M20" s="257" t="n"/>
      <c r="N20" s="257" t="n"/>
      <c r="O20" s="257" t="n"/>
      <c r="P20" s="257" t="n"/>
      <c r="Q20" s="257" t="n"/>
      <c r="R20" s="257" t="n"/>
      <c r="S20" s="257" t="n"/>
      <c r="T20" s="257" t="n"/>
      <c r="U20" s="257" t="n"/>
      <c r="V20" s="257" t="n"/>
      <c r="W20" s="257" t="n"/>
      <c r="X20" s="257" t="n"/>
      <c r="Y20" s="257" t="n"/>
      <c r="Z20" s="257" t="n"/>
    </row>
    <row r="21" ht="15" customHeight="1" s="51">
      <c r="A21" s="258" t="inlineStr">
        <is>
          <t>3.2</t>
        </is>
      </c>
      <c r="B21" s="258" t="inlineStr">
        <is>
          <t>3 ESP32 LoRa</t>
        </is>
      </c>
      <c r="C21" s="258" t="inlineStr">
        <is>
          <t>LoRa Send/Receive</t>
        </is>
      </c>
      <c r="D21" s="258" t="inlineStr">
        <is>
          <t>Implement LoRa packet send/receive</t>
        </is>
      </c>
      <c r="E21" s="258" t="inlineStr">
        <is>
          <t>Two nodes exchange packets</t>
        </is>
      </c>
      <c r="F21" s="258" t="inlineStr">
        <is>
          <t>Not Started</t>
        </is>
      </c>
      <c r="G21" s="258" t="inlineStr">
        <is>
          <t>Codex/User</t>
        </is>
      </c>
      <c r="H21" s="258" t="str"/>
      <c r="I21" s="258" t="str"/>
      <c r="J21" s="258" t="str"/>
      <c r="K21" s="258" t="inlineStr">
        <is>
          <t>Serial logs</t>
        </is>
      </c>
      <c r="L21" s="258" t="str"/>
      <c r="M21" s="257" t="n"/>
      <c r="N21" s="257" t="n"/>
      <c r="O21" s="257" t="n"/>
      <c r="P21" s="257" t="n"/>
      <c r="Q21" s="257" t="n"/>
      <c r="R21" s="257" t="n"/>
      <c r="S21" s="257" t="n"/>
      <c r="T21" s="257" t="n"/>
      <c r="U21" s="257" t="n"/>
      <c r="V21" s="257" t="n"/>
      <c r="W21" s="257" t="n"/>
      <c r="X21" s="257" t="n"/>
      <c r="Y21" s="257" t="n"/>
      <c r="Z21" s="257" t="n"/>
    </row>
    <row r="22" ht="15" customHeight="1" s="51">
      <c r="A22" s="258" t="inlineStr">
        <is>
          <t>3.3</t>
        </is>
      </c>
      <c r="B22" s="258" t="inlineStr">
        <is>
          <t>3 ESP32 LoRa</t>
        </is>
      </c>
      <c r="C22" s="258" t="inlineStr">
        <is>
          <t>ACK/Retry</t>
        </is>
      </c>
      <c r="D22" s="258" t="inlineStr">
        <is>
          <t>Implement ACK, retry, duplicate filter</t>
        </is>
      </c>
      <c r="E22" s="258" t="inlineStr">
        <is>
          <t>Message delivery improves under packet loss</t>
        </is>
      </c>
      <c r="F22" s="258" t="inlineStr">
        <is>
          <t>Not Started</t>
        </is>
      </c>
      <c r="G22" s="258" t="inlineStr">
        <is>
          <t>Codex/User</t>
        </is>
      </c>
      <c r="H22" s="258" t="str"/>
      <c r="I22" s="258" t="str"/>
      <c r="J22" s="258" t="str"/>
      <c r="K22" s="258" t="inlineStr">
        <is>
          <t>Serial logs</t>
        </is>
      </c>
      <c r="L22" s="258" t="str"/>
      <c r="M22" s="257" t="n"/>
      <c r="N22" s="257" t="n"/>
      <c r="O22" s="257" t="n"/>
      <c r="P22" s="257" t="n"/>
      <c r="Q22" s="257" t="n"/>
      <c r="R22" s="257" t="n"/>
      <c r="S22" s="257" t="n"/>
      <c r="T22" s="257" t="n"/>
      <c r="U22" s="257" t="n"/>
      <c r="V22" s="257" t="n"/>
      <c r="W22" s="257" t="n"/>
      <c r="X22" s="257" t="n"/>
      <c r="Y22" s="257" t="n"/>
      <c r="Z22" s="257" t="n"/>
    </row>
    <row r="23" ht="15" customHeight="1" s="51">
      <c r="A23" s="269" t="inlineStr">
        <is>
          <t>4.1</t>
        </is>
      </c>
      <c r="B23" s="269" t="inlineStr">
        <is>
          <t>4 Gateway</t>
        </is>
      </c>
      <c r="C23" s="269" t="inlineStr">
        <is>
          <t>Gateway Simulation</t>
        </is>
      </c>
      <c r="D23" s="269" t="inlineStr">
        <is>
          <t>Create Python/Flask gateway simulation service</t>
        </is>
      </c>
      <c r="E23" s="269" t="inlineStr">
        <is>
          <t>Runs on Mac/RPi in simulation mode</t>
        </is>
      </c>
      <c r="F23" s="269" t="inlineStr">
        <is>
          <t>Completed</t>
        </is>
      </c>
      <c r="G23" s="269" t="inlineStr">
        <is>
          <t>Codex</t>
        </is>
      </c>
      <c r="H23" s="269" t="str"/>
      <c r="I23" s="269" t="inlineStr">
        <is>
          <t>2026-05-12</t>
        </is>
      </c>
      <c r="J23" s="269" t="inlineStr">
        <is>
          <t>Gateway simulator created under rpi-gateway; six-node/two-gateway simulation, gateway forwarding, buffering, ACK, 10-second failover, and 10-second recovery validated.</t>
        </is>
      </c>
      <c r="K23" s="269" t="inlineStr">
        <is>
          <t>rpi-gateway tests passed; docs/codex-task-logs/STEP_024_RASPBERRY_PI_GATEWAY_INTEGRATION.md; commit 6bea5a5</t>
        </is>
      </c>
      <c r="L23" s="269" t="inlineStr">
        <is>
          <t>Simulation baseline only. Raspberry Pi SPI/SX1278 hardware integration remains later step.</t>
        </is>
      </c>
      <c r="M23" s="257" t="n"/>
      <c r="N23" s="257" t="n"/>
      <c r="O23" s="257" t="n"/>
      <c r="P23" s="257" t="n"/>
      <c r="Q23" s="257" t="n"/>
      <c r="R23" s="257" t="n"/>
      <c r="S23" s="257" t="n"/>
      <c r="T23" s="257" t="n"/>
      <c r="U23" s="257" t="n"/>
      <c r="V23" s="257" t="n"/>
      <c r="W23" s="257" t="n"/>
      <c r="X23" s="257" t="n"/>
      <c r="Y23" s="257" t="n"/>
      <c r="Z23" s="257" t="n"/>
    </row>
    <row r="24" ht="26.39999961853027" customHeight="1" s="51">
      <c r="A24" s="258" t="inlineStr">
        <is>
          <t>4.2</t>
        </is>
      </c>
      <c r="B24" s="258" t="inlineStr">
        <is>
          <t>4 Gateway</t>
        </is>
      </c>
      <c r="C24" s="258" t="inlineStr">
        <is>
          <t>LoRa SPI Integration</t>
        </is>
      </c>
      <c r="D24" s="258" t="inlineStr">
        <is>
          <t>Connect Raspberry Pi 3B directly to LoRa module via SPI through hardware abstraction layer</t>
        </is>
      </c>
      <c r="E24" s="258" t="inlineStr">
        <is>
          <t>Gateway receives node heartbeats</t>
        </is>
      </c>
      <c r="F24" s="258" t="inlineStr">
        <is>
          <t>Completed - HAL baseline</t>
        </is>
      </c>
      <c r="G24" s="258" t="inlineStr">
        <is>
          <t>Codex/User</t>
        </is>
      </c>
      <c r="H24" s="258" t="str"/>
      <c r="I24" s="258" t="inlineStr">
        <is>
          <t>2026-05-13</t>
        </is>
      </c>
      <c r="J24" s="258" t="inlineStr">
        <is>
          <t>LoRa SPI hardware abstraction added and validated with simulated heartbeat intake. Gateway snapshot now records node heartbeats and rejects wrong-gateway frames.</t>
        </is>
      </c>
      <c r="K24" s="258" t="inlineStr">
        <is>
          <t>rpi-gateway/gateway_sim/lora_spi.py; gateway_sim/simulator.py; run_simulation.py --lora-spi-demo; unittest 8 tests passed; compileall passed.</t>
        </is>
      </c>
      <c r="L24" s="258" t="inlineStr">
        <is>
          <t>Simulation-safe HAL baseline only. Real Raspberry Pi SPI/SX1278 driver calls and physical wiring verification remain future hardware bring-up work.</t>
        </is>
      </c>
      <c r="M24" s="257" t="n"/>
      <c r="N24" s="257" t="n"/>
      <c r="O24" s="257" t="n"/>
      <c r="P24" s="257" t="n"/>
      <c r="Q24" s="257" t="n"/>
      <c r="R24" s="257" t="n"/>
      <c r="S24" s="257" t="n"/>
      <c r="T24" s="257" t="n"/>
      <c r="U24" s="257" t="n"/>
      <c r="V24" s="257" t="n"/>
      <c r="W24" s="257" t="n"/>
      <c r="X24" s="257" t="n"/>
      <c r="Y24" s="257" t="n"/>
      <c r="Z24" s="257" t="n"/>
    </row>
    <row r="25" ht="26.39999961853027" customHeight="1" s="51">
      <c r="A25" s="258" t="inlineStr">
        <is>
          <t>5.1</t>
        </is>
      </c>
      <c r="B25" s="258" t="inlineStr">
        <is>
          <t>5 Historical Router Link</t>
        </is>
      </c>
      <c r="C25" s="258" t="inlineStr">
        <is>
          <t>Router-to-Router Link - Superseded</t>
        </is>
      </c>
      <c r="D25" s="258" t="inlineStr">
        <is>
          <t>Historical simulation/hardware ping evidence for old WiFi router-to-router simulated satellite path.</t>
        </is>
      </c>
      <c r="E25" s="258" t="inlineStr">
        <is>
          <t>Superseded by RPi3B internet + Tailscale VPN backhaul design</t>
        </is>
      </c>
      <c r="F25" s="258" t="inlineStr">
        <is>
          <t>Completed - historical/superseded</t>
        </is>
      </c>
      <c r="G25" s="258" t="inlineStr">
        <is>
          <t>Codex/User</t>
        </is>
      </c>
      <c r="H25" s="258" t="str"/>
      <c r="I25" s="258" t="inlineStr">
        <is>
          <t>2026-05-13</t>
        </is>
      </c>
      <c r="J25" s="258" t="inlineStr">
        <is>
          <t>Option A simulation completed, and user confirmed Option B hardware bridge ping works from either MGateway1 or MGateway2 to Router A, Router B, RPI A, and RPI B.</t>
        </is>
      </c>
      <c r="K25" s="258" t="inlineStr">
        <is>
          <t>Simulation command passed; user-confirmed ping reachability: 192.168.50.1, 192.168.50.102, 192.168.50.41, 192.168.50.42.</t>
        </is>
      </c>
      <c r="L25" s="258" t="inlineStr">
        <is>
          <t>Preserve prior evidence, but do not use WiFi router-to-router link as current backhaul. Routers are local internet/AP devices only.</t>
        </is>
      </c>
      <c r="M25" s="257" t="n"/>
      <c r="N25" s="257" t="n"/>
      <c r="O25" s="257" t="n"/>
      <c r="P25" s="257" t="n"/>
      <c r="Q25" s="257" t="n"/>
      <c r="R25" s="257" t="n"/>
      <c r="S25" s="257" t="n"/>
      <c r="T25" s="257" t="n"/>
      <c r="U25" s="257" t="n"/>
      <c r="V25" s="257" t="n"/>
      <c r="W25" s="257" t="n"/>
      <c r="X25" s="257" t="n"/>
      <c r="Y25" s="257" t="n"/>
      <c r="Z25" s="257" t="n"/>
    </row>
    <row r="26" ht="26.39999961853027" customHeight="1" s="51">
      <c r="A26" s="258" t="inlineStr">
        <is>
          <t>5.2</t>
        </is>
      </c>
      <c r="B26" s="258" t="inlineStr">
        <is>
          <t>5 Historical Latency</t>
        </is>
      </c>
      <c r="C26" s="258" t="inlineStr">
        <is>
          <t>Router Latency Simulation - Superseded</t>
        </is>
      </c>
      <c r="D26" s="258" t="inlineStr">
        <is>
          <t>Historical 500-700 ms simulated latency target for old router/satellite simulation path.</t>
        </is>
      </c>
      <c r="E26" s="258" t="inlineStr">
        <is>
          <t>Superseded for current Tailscale VPN backhaul design</t>
        </is>
      </c>
      <c r="F26" s="258" t="inlineStr">
        <is>
          <t>Completed - historical/superseded</t>
        </is>
      </c>
      <c r="G26" s="258" t="inlineStr">
        <is>
          <t>Codex/User</t>
        </is>
      </c>
      <c r="H26" s="258" t="str"/>
      <c r="I26" s="258" t="inlineStr">
        <is>
          <t>2026-05-13</t>
        </is>
      </c>
      <c r="J26" s="258" t="inlineStr">
        <is>
          <t>Router-link latency simulation added. Demo logs show configured/measured 600 ms latency, inside the 500-700 ms target, with remote delivery still using GATEWAY_WIFI_ROUTER.</t>
        </is>
      </c>
      <c r="K26" s="258" t="inlineStr">
        <is>
          <t>python3 run_simulation.py --latency-demo; unittest 13 tests passed; compileall passed; events include ROUTER_LINK_LATENCY_SET, PING_OK latency_ms=600, and GATEWAY_FORWARD latency_ms=600.</t>
        </is>
      </c>
      <c r="L26" s="258" t="inlineStr">
        <is>
          <t>Future Tailscale latency/link monitoring should be measured on real RPi3B internet/VPN path.</t>
        </is>
      </c>
      <c r="M26" s="257" t="n"/>
      <c r="N26" s="257" t="n"/>
      <c r="O26" s="257" t="n"/>
      <c r="P26" s="257" t="n"/>
      <c r="Q26" s="257" t="n"/>
      <c r="R26" s="257" t="n"/>
      <c r="S26" s="257" t="n"/>
      <c r="T26" s="257" t="n"/>
      <c r="U26" s="257" t="n"/>
      <c r="V26" s="257" t="n"/>
      <c r="W26" s="257" t="n"/>
      <c r="X26" s="257" t="n"/>
      <c r="Y26" s="257" t="n"/>
      <c r="Z26" s="257" t="n"/>
    </row>
    <row r="27" ht="26.39999961853027" customHeight="1" s="51">
      <c r="A27" s="258" t="inlineStr">
        <is>
          <t>6.1</t>
        </is>
      </c>
      <c r="B27" s="258" t="inlineStr">
        <is>
          <t>6 Failover</t>
        </is>
      </c>
      <c r="C27" s="258" t="inlineStr">
        <is>
          <t>Failover State Machine</t>
        </is>
      </c>
      <c r="D27" s="258" t="inlineStr">
        <is>
          <t>Implement RSSI &lt; -78 dBm for 10 seconds and ACK/timeout failover triggers</t>
        </is>
      </c>
      <c r="E27" s="258" t="inlineStr">
        <is>
          <t>Failover starts within 10 seconds</t>
        </is>
      </c>
      <c r="F27" s="258" t="inlineStr">
        <is>
          <t>Completed - simulation baseline</t>
        </is>
      </c>
      <c r="G27" s="258" t="inlineStr">
        <is>
          <t>Codex/User</t>
        </is>
      </c>
      <c r="H27" s="258" t="str"/>
      <c r="I27" s="258" t="inlineStr">
        <is>
          <t>2026-05-13</t>
        </is>
      </c>
      <c r="J27" s="258" t="inlineStr">
        <is>
          <t>Failover state machine added. RSSI below -78 dBm starts DEGRADED state, 10 seconds activates FAILOVER_ACTIVE, and packets route over GATEWAY_WIFI_ROUTER. ACK-timeout failover is also covered by tests.</t>
        </is>
      </c>
      <c r="K27" s="258" t="inlineStr">
        <is>
          <t>python3 run_simulation.py --failover-demo; unittest 17 tests passed; compileall passed; events include RSSI_DEGRADED, FAILOVER_ACTIVE, and GATEWAY_FORWARD.</t>
        </is>
      </c>
      <c r="L27" s="258" t="inlineStr">
        <is>
          <t>Simulation-safe baseline only. Physical RF degradation and live RPI/LoRa failover testing remain later hardware verification.</t>
        </is>
      </c>
      <c r="M27" s="257" t="n"/>
      <c r="N27" s="257" t="n"/>
      <c r="O27" s="257" t="n"/>
      <c r="P27" s="257" t="n"/>
      <c r="Q27" s="257" t="n"/>
      <c r="R27" s="257" t="n"/>
      <c r="S27" s="257" t="n"/>
      <c r="T27" s="257" t="n"/>
      <c r="U27" s="257" t="n"/>
      <c r="V27" s="257" t="n"/>
      <c r="W27" s="257" t="n"/>
      <c r="X27" s="257" t="n"/>
      <c r="Y27" s="257" t="n"/>
      <c r="Z27" s="257" t="n"/>
    </row>
    <row r="28" ht="15" customHeight="1" s="51">
      <c r="A28" s="258" t="inlineStr">
        <is>
          <t>6.2</t>
        </is>
      </c>
      <c r="B28" s="258" t="inlineStr">
        <is>
          <t>6 Failover</t>
        </is>
      </c>
      <c r="C28" s="258" t="inlineStr">
        <is>
          <t>Store and Forward</t>
        </is>
      </c>
      <c r="D28" s="258" t="inlineStr">
        <is>
          <t>Buffer messages during failover and preserve order</t>
        </is>
      </c>
      <c r="E28" s="258" t="inlineStr">
        <is>
          <t>No message loss during route switch</t>
        </is>
      </c>
      <c r="F28" s="258" t="inlineStr">
        <is>
          <t>Completed - simulation baseline</t>
        </is>
      </c>
      <c r="G28" s="258" t="inlineStr">
        <is>
          <t>Codex/User</t>
        </is>
      </c>
      <c r="H28" s="258" t="str"/>
      <c r="I28" s="258" t="inlineStr">
        <is>
          <t>2026-05-13</t>
        </is>
      </c>
      <c r="J28" s="258" t="inlineStr">
        <is>
          <t>Store-and-forward buffering added. Messages are buffered when router/gateway link is offline and flushed in original order when the link recovers, with no message loss in simulation.</t>
        </is>
      </c>
      <c r="K28" s="258" t="inlineStr">
        <is>
          <t>python3 run_simulation.py --store-forward-demo; unittest 19 tests passed; compileall passed; events include STORE_FORWARD_BUFFERED and STORE_FORWARD_FLUSH order=1/2.</t>
        </is>
      </c>
      <c r="L28" s="258" t="inlineStr">
        <is>
          <t>Simulation-safe baseline only. Live RPI/router outage buffering remains later hardware verification.</t>
        </is>
      </c>
      <c r="M28" s="257" t="n"/>
      <c r="N28" s="257" t="n"/>
      <c r="O28" s="257" t="n"/>
      <c r="P28" s="257" t="n"/>
      <c r="Q28" s="257" t="n"/>
      <c r="R28" s="257" t="n"/>
      <c r="S28" s="257" t="n"/>
      <c r="T28" s="257" t="n"/>
      <c r="U28" s="257" t="n"/>
      <c r="V28" s="257" t="n"/>
      <c r="W28" s="257" t="n"/>
      <c r="X28" s="257" t="n"/>
      <c r="Y28" s="257" t="n"/>
      <c r="Z28" s="257" t="n"/>
    </row>
    <row r="29" ht="26.39999961853027" customHeight="1" s="51">
      <c r="A29" s="258" t="inlineStr">
        <is>
          <t>6.3</t>
        </is>
      </c>
      <c r="B29" s="258" t="inlineStr">
        <is>
          <t>6 Failover</t>
        </is>
      </c>
      <c r="C29" s="258" t="inlineStr">
        <is>
          <t>Recovery</t>
        </is>
      </c>
      <c r="D29" s="258" t="inlineStr">
        <is>
          <t>Return to MANET after stable link for 10 seconds; complete switch within 5 seconds</t>
        </is>
      </c>
      <c r="E29" s="258" t="inlineStr">
        <is>
          <t>Recovery passes acceptance criteria</t>
        </is>
      </c>
      <c r="F29" s="258" t="inlineStr">
        <is>
          <t>Completed - simulation baseline</t>
        </is>
      </c>
      <c r="G29" s="258" t="inlineStr">
        <is>
          <t>Codex/User</t>
        </is>
      </c>
      <c r="H29" s="258" t="str"/>
      <c r="I29" s="258" t="inlineStr">
        <is>
          <t>2026-05-13</t>
        </is>
      </c>
      <c r="J29" s="258" t="inlineStr">
        <is>
          <t>Recovery/reversion simulation added. Gateway remains on router route during RECOVERING, waits for 10 stable seconds, restores PRIMARY_LORA, and returns local traffic to LOCAL_LORA within the 5-second acceptance window.</t>
        </is>
      </c>
      <c r="K29" s="258" t="inlineStr">
        <is>
          <t>python3 run_simulation.py --recovery-demo; unittest 21 tests passed; compileall passed; events include RSSI_RECOVERY_OBSERVED and PRIMARY_LORA_RESTORED.</t>
        </is>
      </c>
      <c r="L29" s="258" t="inlineStr">
        <is>
          <t>Simulation-safe baseline only. Live RF recovery and physical RPI/LoRa timing remain later hardware verification.</t>
        </is>
      </c>
      <c r="M29" s="257" t="n"/>
      <c r="N29" s="257" t="n"/>
      <c r="O29" s="257" t="n"/>
      <c r="P29" s="257" t="n"/>
      <c r="Q29" s="257" t="n"/>
      <c r="R29" s="257" t="n"/>
      <c r="S29" s="257" t="n"/>
      <c r="T29" s="257" t="n"/>
      <c r="U29" s="257" t="n"/>
      <c r="V29" s="257" t="n"/>
      <c r="W29" s="257" t="n"/>
      <c r="X29" s="257" t="n"/>
      <c r="Y29" s="257" t="n"/>
      <c r="Z29" s="257" t="n"/>
    </row>
    <row r="30" ht="15" customHeight="1" s="51">
      <c r="A30" s="258" t="inlineStr">
        <is>
          <t>7.1</t>
        </is>
      </c>
      <c r="B30" s="258" t="inlineStr">
        <is>
          <t>7 Android</t>
        </is>
      </c>
      <c r="C30" s="258" t="inlineStr">
        <is>
          <t>Android Project</t>
        </is>
      </c>
      <c r="D30" s="258" t="inlineStr">
        <is>
          <t>Create Android Studio Kotlin app MVP</t>
        </is>
      </c>
      <c r="E30" s="258" t="inlineStr">
        <is>
          <t>Project builds</t>
        </is>
      </c>
      <c r="F30" s="258" t="inlineStr">
        <is>
          <t>Completed - validated existing project</t>
        </is>
      </c>
      <c r="G30" s="258" t="inlineStr">
        <is>
          <t>Codex/User</t>
        </is>
      </c>
      <c r="H30" s="258" t="str"/>
      <c r="I30" s="258" t="inlineStr">
        <is>
          <t>2026-05-13</t>
        </is>
      </c>
      <c r="J30" s="258" t="inlineStr">
        <is>
          <t>Existing Android Kotlin app MVP validated without restarting the Android project. Debug APK build succeeds.</t>
        </is>
      </c>
      <c r="K30" s="258" t="inlineStr">
        <is>
          <t>JAVA_HOME="/Applications/Android Studio.app/Contents/jbr/Contents/Home" ./gradlew :app:assembleDebug completed BUILD SUCCESSFUL in android-chat-app.</t>
        </is>
      </c>
      <c r="L30" s="258" t="inlineStr">
        <is>
          <t>No Android code changed in this validation step. Prior Android demo/Bluetooth work remains preserved.</t>
        </is>
      </c>
      <c r="M30" s="257" t="n"/>
      <c r="N30" s="257" t="n"/>
      <c r="O30" s="257" t="n"/>
      <c r="P30" s="257" t="n"/>
      <c r="Q30" s="257" t="n"/>
      <c r="R30" s="257" t="n"/>
      <c r="S30" s="257" t="n"/>
      <c r="T30" s="257" t="n"/>
      <c r="U30" s="257" t="n"/>
      <c r="V30" s="257" t="n"/>
      <c r="W30" s="257" t="n"/>
      <c r="X30" s="257" t="n"/>
      <c r="Y30" s="257" t="n"/>
      <c r="Z30" s="257" t="n"/>
    </row>
    <row r="31" ht="26.39999961853027" customHeight="1" s="51">
      <c r="A31" s="258" t="inlineStr">
        <is>
          <t>7.2</t>
        </is>
      </c>
      <c r="B31" s="258" t="inlineStr">
        <is>
          <t>7 Android</t>
        </is>
      </c>
      <c r="C31" s="258" t="inlineStr">
        <is>
          <t>Bluetooth Pairing</t>
        </is>
      </c>
      <c r="D31" s="258" t="inlineStr">
        <is>
          <t>Pair Android phone to assigned ESP32 node via Bluetooth</t>
        </is>
      </c>
      <c r="E31" s="258" t="inlineStr">
        <is>
          <t>Phone can send test message to node</t>
        </is>
      </c>
      <c r="F31" s="258" t="inlineStr">
        <is>
          <t>Completed - hardware demo validated</t>
        </is>
      </c>
      <c r="G31" s="258" t="inlineStr">
        <is>
          <t>Codex/User</t>
        </is>
      </c>
      <c r="H31" s="258" t="str"/>
      <c r="I31" s="258" t="inlineStr">
        <is>
          <t>2026-05-13</t>
        </is>
      </c>
      <c r="J31" s="258" t="inlineStr">
        <is>
          <t>Bluetooth pairing/live send validation completed from prior hardware demo. Android phones paired with PUP-MANET-NODE_A and PUP-MANET-NODE_B; phone-to-node Bluetooth messages entered ESP32 logs and crossed LoRa during Step 023 demo.</t>
        </is>
      </c>
      <c r="K31" s="258" t="inlineStr">
        <is>
          <t>User screenshots/terminal results from Step 023 demo; Android demo APK; NodeA/NodeB terminal logs; task log ANDROID_DEMO_APK_MESSAGE_FLOW.md.</t>
        </is>
      </c>
      <c r="L31" s="258" t="inlineStr">
        <is>
          <t>No new hardware retest requested. This records existing successful pairing/send evidence and preserves the Android Bluetooth implementation.</t>
        </is>
      </c>
      <c r="M31" s="257" t="n"/>
      <c r="N31" s="257" t="n"/>
      <c r="O31" s="257" t="n"/>
      <c r="P31" s="257" t="n"/>
      <c r="Q31" s="257" t="n"/>
      <c r="R31" s="257" t="n"/>
      <c r="S31" s="257" t="n"/>
      <c r="T31" s="257" t="n"/>
      <c r="U31" s="257" t="n"/>
      <c r="V31" s="257" t="n"/>
      <c r="W31" s="257" t="n"/>
      <c r="X31" s="257" t="n"/>
      <c r="Y31" s="257" t="n"/>
      <c r="Z31" s="257" t="n"/>
    </row>
    <row r="32" ht="15" customHeight="1" s="51">
      <c r="A32" s="258" t="inlineStr">
        <is>
          <t>7.3</t>
        </is>
      </c>
      <c r="B32" s="258" t="inlineStr">
        <is>
          <t>7 Android</t>
        </is>
      </c>
      <c r="C32" s="258" t="inlineStr">
        <is>
          <t>Network Selection</t>
        </is>
      </c>
      <c r="D32" s="258" t="inlineStr">
        <is>
          <t>Add Auto, LoRa, WiFi, GSM manual mode selector</t>
        </is>
      </c>
      <c r="E32" s="258" t="inlineStr">
        <is>
          <t>UI and internal state work</t>
        </is>
      </c>
      <c r="F32" s="258" t="inlineStr">
        <is>
          <t>Completed - validated existing UI/state</t>
        </is>
      </c>
      <c r="G32" s="258" t="inlineStr">
        <is>
          <t>Codex/User</t>
        </is>
      </c>
      <c r="H32" s="258" t="str"/>
      <c r="I32" s="258" t="inlineStr">
        <is>
          <t>2026-05-13</t>
        </is>
      </c>
      <c r="J32" s="258" t="inlineStr">
        <is>
          <t>Existing Android app already includes Auto, LoRa, WiFi, and GSM network mode selector plus route decision state. Build validated successfully without restarting Android scope.</t>
        </is>
      </c>
      <c r="K32" s="258" t="inlineStr">
        <is>
          <t>MainActivity.kt includes NetworkMode Auto/LoRa/WiFi/GSM, NetworkSelector UI, routing/failover order, simulation controls; :app:assembleDebug BUILD SUCCESSFUL.</t>
        </is>
      </c>
      <c r="L32" s="258" t="inlineStr">
        <is>
          <t>No Android source changes were required for this validation step.</t>
        </is>
      </c>
      <c r="M32" s="257" t="n"/>
      <c r="N32" s="257" t="n"/>
      <c r="O32" s="257" t="n"/>
      <c r="P32" s="257" t="n"/>
      <c r="Q32" s="257" t="n"/>
      <c r="R32" s="257" t="n"/>
      <c r="S32" s="257" t="n"/>
      <c r="T32" s="257" t="n"/>
      <c r="U32" s="257" t="n"/>
      <c r="V32" s="257" t="n"/>
      <c r="W32" s="257" t="n"/>
      <c r="X32" s="257" t="n"/>
      <c r="Y32" s="257" t="n"/>
      <c r="Z32" s="257" t="n"/>
    </row>
    <row r="33" ht="26.39999961853027" customHeight="1" s="51">
      <c r="A33" s="258" t="inlineStr">
        <is>
          <t>8.1 / STEP 034</t>
        </is>
      </c>
      <c r="B33" s="258" t="inlineStr">
        <is>
          <t>8 Test Campaign</t>
        </is>
      </c>
      <c r="C33" s="258" t="inlineStr">
        <is>
          <t>Baseline Test</t>
        </is>
      </c>
      <c r="D33" s="258" t="inlineStr">
        <is>
          <t>Run baseline operation test; record GitHub repo, branch, and commit SHA used for the physical validation.</t>
        </is>
      </c>
      <c r="E33" s="258" t="inlineStr">
        <is>
          <t>PASS: real RF E2E message delivered; RECEIVED_OVER_LORA status seen; ACK returned FORWARDED_OVER_LORA.</t>
        </is>
      </c>
      <c r="F33" s="258" t="inlineStr">
        <is>
          <t>Completed / PASS</t>
        </is>
      </c>
      <c r="G33" s="258" t="inlineStr">
        <is>
          <t>User + Codex</t>
        </is>
      </c>
      <c r="H33" s="258" t="n"/>
      <c r="I33" s="258" t="inlineStr">
        <is>
          <t>2026-05-22</t>
        </is>
      </c>
      <c r="J33" s="258" t="inlineStr">
        <is>
          <t>Physical validation confirmed the baseline LoRa path: Phone A -&gt; Bluetooth SPP -&gt; NODE_A ESP32 -&gt; LoRa RF -&gt; NODE_B ESP32 -&gt; Bluetooth SPP -&gt; Phone B.</t>
        </is>
      </c>
      <c r="K33"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L33" s="258" t="inlineStr">
        <is>
          <t>STEP 034 baseline accepted as PASS for the confirmed real two-node RF path. Tested branch/HEAD recorded as step-002-003-esp32-simulation @ 147431c; existing uncommitted Android/ESP32 validation fixes were present in the working tree and are intentionally not staged by this docs-only commit.</t>
        </is>
      </c>
      <c r="M33" s="257" t="n"/>
      <c r="N33" s="257" t="n"/>
      <c r="O33" s="257" t="n"/>
      <c r="P33" s="257" t="n"/>
      <c r="Q33" s="257" t="n"/>
      <c r="R33" s="257" t="n"/>
      <c r="S33" s="257" t="n"/>
      <c r="T33" s="257" t="n"/>
      <c r="U33" s="257" t="n"/>
      <c r="V33" s="257" t="n"/>
      <c r="W33" s="257" t="n"/>
      <c r="X33" s="257" t="n"/>
      <c r="Y33" s="257" t="n"/>
      <c r="Z33" s="257" t="n"/>
    </row>
    <row r="34" ht="15" customHeight="1" s="51">
      <c r="A34" s="258" t="inlineStr">
        <is>
          <t>8.2</t>
        </is>
      </c>
      <c r="B34" s="258" t="inlineStr">
        <is>
          <t>8 Test Campaign</t>
        </is>
      </c>
      <c r="C34" s="258" t="inlineStr">
        <is>
          <t>Degradation Test</t>
        </is>
      </c>
      <c r="D34" s="258" t="inlineStr">
        <is>
          <t>Run DOCX degradation detection test</t>
        </is>
      </c>
      <c r="E34" s="258" t="inlineStr">
        <is>
          <t>RSSI &lt; -78 dBm for 10 seconds detected</t>
        </is>
      </c>
      <c r="F34" s="258" t="inlineStr">
        <is>
          <t>Not Started</t>
        </is>
      </c>
      <c r="G34" s="258" t="inlineStr">
        <is>
          <t>User</t>
        </is>
      </c>
      <c r="H34" s="258" t="str"/>
      <c r="I34" s="258" t="str"/>
      <c r="J34" s="258" t="str"/>
      <c r="K34" s="258" t="inlineStr">
        <is>
          <t>Test report</t>
        </is>
      </c>
      <c r="L34" s="258" t="str"/>
      <c r="M34" s="257" t="n"/>
      <c r="N34" s="257" t="n"/>
      <c r="O34" s="257" t="n"/>
      <c r="P34" s="257" t="n"/>
      <c r="Q34" s="257" t="n"/>
      <c r="R34" s="257" t="n"/>
      <c r="S34" s="257" t="n"/>
      <c r="T34" s="257" t="n"/>
      <c r="U34" s="257" t="n"/>
      <c r="V34" s="257" t="n"/>
      <c r="W34" s="257" t="n"/>
      <c r="X34" s="257" t="n"/>
      <c r="Y34" s="257" t="n"/>
      <c r="Z34" s="257" t="n"/>
    </row>
    <row r="35" ht="15" customHeight="1" s="51">
      <c r="A35" s="258" t="inlineStr">
        <is>
          <t>8.3</t>
        </is>
      </c>
      <c r="B35" s="258" t="inlineStr">
        <is>
          <t>8 Test Campaign</t>
        </is>
      </c>
      <c r="C35" s="258" t="inlineStr">
        <is>
          <t>Failover Test</t>
        </is>
      </c>
      <c r="D35" s="258" t="inlineStr">
        <is>
          <t>Run DOCX failover activation test</t>
        </is>
      </c>
      <c r="E35" s="258" t="inlineStr">
        <is>
          <t>Failover trigger time = 10 seconds</t>
        </is>
      </c>
      <c r="F35" s="258" t="inlineStr">
        <is>
          <t>Not Started</t>
        </is>
      </c>
      <c r="G35" s="258" t="inlineStr">
        <is>
          <t>User</t>
        </is>
      </c>
      <c r="H35" s="258" t="str"/>
      <c r="I35" s="258" t="str"/>
      <c r="J35" s="258" t="str"/>
      <c r="K35" s="258" t="inlineStr">
        <is>
          <t>Test report</t>
        </is>
      </c>
      <c r="L35" s="258" t="str"/>
      <c r="M35" s="257" t="n"/>
      <c r="N35" s="257" t="n"/>
      <c r="O35" s="257" t="n"/>
      <c r="P35" s="257" t="n"/>
      <c r="Q35" s="257" t="n"/>
      <c r="R35" s="257" t="n"/>
      <c r="S35" s="257" t="n"/>
      <c r="T35" s="257" t="n"/>
      <c r="U35" s="257" t="n"/>
      <c r="V35" s="257" t="n"/>
      <c r="W35" s="257" t="n"/>
      <c r="X35" s="257" t="n"/>
      <c r="Y35" s="257" t="n"/>
      <c r="Z35" s="257" t="n"/>
    </row>
    <row r="36" ht="15" customHeight="1" s="51">
      <c r="A36" s="258" t="inlineStr">
        <is>
          <t>8.4</t>
        </is>
      </c>
      <c r="B36" s="258" t="inlineStr">
        <is>
          <t>8 Test Campaign</t>
        </is>
      </c>
      <c r="C36" s="258" t="inlineStr">
        <is>
          <t>Sustained Operation</t>
        </is>
      </c>
      <c r="D36" s="258" t="inlineStr">
        <is>
          <t>Run 24-hour sustained emergency operation test</t>
        </is>
      </c>
      <c r="E36" s="258" t="inlineStr">
        <is>
          <t>Uptime &gt;=80%; no unrecoverable failure</t>
        </is>
      </c>
      <c r="F36" s="258" t="inlineStr">
        <is>
          <t>Not Started</t>
        </is>
      </c>
      <c r="G36" s="258" t="inlineStr">
        <is>
          <t>User</t>
        </is>
      </c>
      <c r="H36" s="258" t="str"/>
      <c r="I36" s="258" t="str"/>
      <c r="J36" s="258" t="str"/>
      <c r="K36" s="258" t="inlineStr">
        <is>
          <t>Test report</t>
        </is>
      </c>
      <c r="L36" s="258" t="str"/>
      <c r="M36" s="257" t="n"/>
      <c r="N36" s="257" t="n"/>
      <c r="O36" s="257" t="n"/>
      <c r="P36" s="257" t="n"/>
      <c r="Q36" s="257" t="n"/>
      <c r="R36" s="257" t="n"/>
      <c r="S36" s="257" t="n"/>
      <c r="T36" s="257" t="n"/>
      <c r="U36" s="257" t="n"/>
      <c r="V36" s="257" t="n"/>
      <c r="W36" s="257" t="n"/>
      <c r="X36" s="257" t="n"/>
      <c r="Y36" s="257" t="n"/>
      <c r="Z36" s="257" t="n"/>
    </row>
    <row r="37" ht="26.39999961853027" customHeight="1" s="51">
      <c r="A37" s="258" t="inlineStr">
        <is>
          <t>8.5</t>
        </is>
      </c>
      <c r="B37" s="258" t="inlineStr">
        <is>
          <t>8 Test Campaign</t>
        </is>
      </c>
      <c r="C37" s="258" t="inlineStr">
        <is>
          <t>Recovery Test</t>
        </is>
      </c>
      <c r="D37" s="258" t="inlineStr">
        <is>
          <t>Run DOCX recovery/reversion test</t>
        </is>
      </c>
      <c r="E37" s="258" t="inlineStr">
        <is>
          <t>Switch back within 5 seconds with no message loss</t>
        </is>
      </c>
      <c r="F37" s="258" t="inlineStr">
        <is>
          <t>Not Started</t>
        </is>
      </c>
      <c r="G37" s="258" t="inlineStr">
        <is>
          <t>User</t>
        </is>
      </c>
      <c r="H37" s="258" t="str"/>
      <c r="I37" s="258" t="str"/>
      <c r="J37" s="258" t="str"/>
      <c r="K37" s="258" t="inlineStr">
        <is>
          <t>Test report</t>
        </is>
      </c>
      <c r="L37" s="258" t="str"/>
      <c r="M37" s="257" t="n"/>
      <c r="N37" s="257" t="n"/>
      <c r="O37" s="257" t="n"/>
      <c r="P37" s="257" t="n"/>
      <c r="Q37" s="257" t="n"/>
      <c r="R37" s="257" t="n"/>
      <c r="S37" s="257" t="n"/>
      <c r="T37" s="257" t="n"/>
      <c r="U37" s="257" t="n"/>
      <c r="V37" s="257" t="n"/>
      <c r="W37" s="257" t="n"/>
      <c r="X37" s="257" t="n"/>
      <c r="Y37" s="257" t="n"/>
      <c r="Z37" s="257" t="n"/>
    </row>
    <row r="38" ht="15" customHeight="1" s="51">
      <c r="A38" s="270" t="inlineStr">
        <is>
          <t>STEP 023</t>
        </is>
      </c>
      <c r="B38" s="269" t="inlineStr">
        <is>
          <t>23 Integrated ESP32/Android</t>
        </is>
      </c>
      <c r="C38" s="269" t="inlineStr">
        <is>
          <t>End-to-End Android-LoRa-Android Messaging</t>
        </is>
      </c>
      <c r="D38" s="269" t="inlineStr">
        <is>
          <t>Validate Android Phone A to NODE_A to LoRa to NODE_B to Android Phone B using addressed destination messaging.</t>
        </is>
      </c>
      <c r="E38" s="269" t="inlineStr">
        <is>
          <t>Terminal logs show BT_RX, LORA_TX, LORA_RX, LORA_PROTOCOL_RX, and BT_TX_FROM_LORA.</t>
        </is>
      </c>
      <c r="F38" s="270" t="inlineStr">
        <is>
          <t>Completed</t>
        </is>
      </c>
      <c r="G38" s="269" t="inlineStr">
        <is>
          <t>Codex/User</t>
        </is>
      </c>
      <c r="H38" s="269" t="inlineStr"/>
      <c r="I38" s="269" t="inlineStr">
        <is>
          <t>2026-05-13</t>
        </is>
      </c>
      <c r="J38" s="269" t="inlineStr">
        <is>
          <t>Hardware bridge and demo APK validated. Phone B sent a typed message through NODE_B over LoRa to NODE_A, and Phone A displayed the readable incoming message.</t>
        </is>
      </c>
      <c r="K38" s="269" t="inlineStr">
        <is>
          <t>Android demo APK path: android-chat-app/demo-apk/PUP-MANET-Messenger-Step023-Demo-debug.apk; NodeA_Terminal.txt / NodeB_Terminal.txt; phoneA/phoneB screenshots; task log ANDROID_DEMO_APK_MESSAGE_FLOW.md; commit 03d4cb0.</t>
        </is>
      </c>
      <c r="L38" s="269" t="inlineStr">
        <is>
          <t>Addressed specific-node demo is ready for client showing. This is not broadcast mode, and GSM remains a later workbook step.</t>
        </is>
      </c>
      <c r="M38" s="257" t="n"/>
      <c r="N38" s="257" t="n"/>
      <c r="O38" s="257" t="n"/>
      <c r="P38" s="257" t="n"/>
      <c r="Q38" s="257" t="n"/>
      <c r="R38" s="257" t="n"/>
      <c r="S38" s="257" t="n"/>
      <c r="T38" s="257" t="n"/>
      <c r="U38" s="257" t="n"/>
      <c r="V38" s="257" t="n"/>
      <c r="W38" s="257" t="n"/>
      <c r="X38" s="257" t="n"/>
      <c r="Y38" s="257" t="n"/>
      <c r="Z38" s="257" t="n"/>
    </row>
    <row r="39" ht="15" customHeight="1" s="51">
      <c r="A39" s="270" t="inlineStr">
        <is>
          <t>STEP 024</t>
        </is>
      </c>
      <c r="B39" s="269" t="inlineStr">
        <is>
          <t>24 Gateway</t>
        </is>
      </c>
      <c r="C39" s="269" t="inlineStr">
        <is>
          <t>Raspberry Pi Gateway Integration - Simulation Baseline</t>
        </is>
      </c>
      <c r="D39" s="269" t="inlineStr">
        <is>
          <t>Create simulation-first gateway baseline before Raspberry Pi hardware integration.</t>
        </is>
      </c>
      <c r="E39" s="269" t="inlineStr">
        <is>
          <t>Gateway simulation runs locally and unit tests pass.</t>
        </is>
      </c>
      <c r="F39" s="270" t="inlineStr">
        <is>
          <t>Completed</t>
        </is>
      </c>
      <c r="G39" s="269" t="inlineStr">
        <is>
          <t>Codex</t>
        </is>
      </c>
      <c r="H39" s="269" t="inlineStr"/>
      <c r="I39" s="269" t="inlineStr">
        <is>
          <t>2026-05-12</t>
        </is>
      </c>
      <c r="J39" s="269" t="inlineStr">
        <is>
          <t>Python gateway simulator and tests created in rpi-gateway.</t>
        </is>
      </c>
      <c r="K39" s="269" t="inlineStr">
        <is>
          <t>python3 run_simulation.py; python3 -m unittest discover -s tests; Step 024 task log; commit 6bea5a5.</t>
        </is>
      </c>
      <c r="L39" s="269" t="inlineStr">
        <is>
          <t>Hardware SPI/LoRa gateway integration remains later workbook step.</t>
        </is>
      </c>
      <c r="M39" s="257" t="n"/>
      <c r="N39" s="257" t="n"/>
      <c r="O39" s="257" t="n"/>
      <c r="P39" s="257" t="n"/>
      <c r="Q39" s="257" t="n"/>
      <c r="R39" s="257" t="n"/>
      <c r="S39" s="257" t="n"/>
      <c r="T39" s="257" t="n"/>
      <c r="U39" s="257" t="n"/>
      <c r="V39" s="257" t="n"/>
      <c r="W39" s="257" t="n"/>
      <c r="X39" s="257" t="n"/>
      <c r="Y39" s="257" t="n"/>
      <c r="Z39" s="257" t="n"/>
    </row>
    <row r="40" ht="15" customHeight="1" s="51">
      <c r="A40" s="276" t="inlineStr">
        <is>
          <t>STEP 035</t>
        </is>
      </c>
      <c r="B40" s="275" t="inlineStr">
        <is>
          <t>35 Integrated ESP32/Android</t>
        </is>
      </c>
      <c r="C40" s="275" t="inlineStr">
        <is>
          <t>Real End-to-End LoRa Message Delivery</t>
        </is>
      </c>
      <c r="D40" s="275" t="inlineStr">
        <is>
          <t>Validate Phone A -&gt; Bluetooth SPP -&gt; NODE_A ESP32 -&gt; LoRa RF -&gt; NODE_B ESP32 -&gt; Bluetooth SPP -&gt; Phone B.</t>
        </is>
      </c>
      <c r="E40" s="275" t="inlineStr">
        <is>
          <t>Phone B receives the emergency message; NODE_A/NODE_B logs show BT_RX, LoRa forwarding, LORA_RX, and BT_TX; ACK path returns FORWARDED_OVER_LORA.</t>
        </is>
      </c>
      <c r="F40" s="276" t="inlineStr">
        <is>
          <t>Completed / PASS</t>
        </is>
      </c>
      <c r="G40" s="275" t="inlineStr">
        <is>
          <t>User + Codex</t>
        </is>
      </c>
      <c r="H40" s="275" t="n"/>
      <c r="I40" s="275" t="inlineStr">
        <is>
          <t>2026-05-22</t>
        </is>
      </c>
      <c r="J40" s="275" t="inlineStr">
        <is>
          <t>First confirmed real RF end-to-end messaging milestone. Phone B displayed Incoming: Emergency message from Phone A; status included RECEIVED_OVER_LORA.</t>
        </is>
      </c>
      <c r="K40" s="275" t="inlineStr">
        <is>
          <t>docs/codex-task-logs/STEP_035_REAL_LORA_E2E_SUCCESS.md; 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L40" s="275"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M40" s="257" t="n"/>
      <c r="N40" s="257" t="n"/>
      <c r="O40" s="257" t="n"/>
      <c r="P40" s="257" t="n"/>
      <c r="Q40" s="257" t="n"/>
      <c r="R40" s="257" t="n"/>
      <c r="S40" s="257" t="n"/>
      <c r="T40" s="257" t="n"/>
      <c r="U40" s="257" t="n"/>
      <c r="V40" s="257" t="n"/>
      <c r="W40" s="257" t="n"/>
      <c r="X40" s="257" t="n"/>
      <c r="Y40" s="257" t="n"/>
      <c r="Z40" s="257" t="n"/>
    </row>
    <row r="41" ht="15" customHeight="1" s="51">
      <c r="A41" s="276" t="inlineStr">
        <is>
          <t>STEP 036</t>
        </is>
      </c>
      <c r="B41" s="275" t="inlineStr">
        <is>
          <t>36 Android</t>
        </is>
      </c>
      <c r="C41" s="275" t="inlineStr">
        <is>
          <t>Real Chat UI Integration</t>
        </is>
      </c>
      <c r="D41" s="275" t="inlineStr">
        <is>
          <t>Integrate the confirmed real LoRa RF path into the Chat tab workflow while preserving simulation fallback.</t>
        </is>
      </c>
      <c r="E41" s="275" t="inlineStr">
        <is>
          <t>PASS: Chat tab sends real LoRa messages through live Bluetooth SPP and displays LoRa-received messages.</t>
        </is>
      </c>
      <c r="F41" s="276" t="inlineStr">
        <is>
          <t>Completed / PASS</t>
        </is>
      </c>
      <c r="G41" s="275" t="inlineStr">
        <is>
          <t>User + Codex</t>
        </is>
      </c>
      <c r="H41" s="275" t="n"/>
      <c r="I41" s="275" t="inlineStr">
        <is>
          <t>2026-05-22</t>
        </is>
      </c>
      <c r="J41" s="275" t="inlineStr">
        <is>
          <t>Real Chat UI now uses live Bluetooth SPP when connected and displays LoRa-received messages in the Chat tab.</t>
        </is>
      </c>
      <c r="K41" s="275"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L41" s="275" t="inlineStr">
        <is>
          <t>Fixed Chat tab simulation fallback issue. Chat Send now bypasses simulation routing when real Bluetooth socket is connected. Next incomplete step: STEP 037 - Multi-Hop Routing Foundation.</t>
        </is>
      </c>
      <c r="M41" s="257" t="n"/>
      <c r="N41" s="257" t="n"/>
      <c r="O41" s="257" t="n"/>
      <c r="P41" s="257" t="n"/>
      <c r="Q41" s="257" t="n"/>
      <c r="R41" s="257" t="n"/>
      <c r="S41" s="257" t="n"/>
      <c r="T41" s="257" t="n"/>
      <c r="U41" s="257" t="n"/>
      <c r="V41" s="257" t="n"/>
      <c r="W41" s="257" t="n"/>
      <c r="X41" s="257" t="n"/>
      <c r="Y41" s="257" t="n"/>
      <c r="Z41" s="257" t="n"/>
    </row>
    <row r="42" ht="15" customHeight="1" s="51">
      <c r="A42" s="276" t="inlineStr">
        <is>
          <t>STEP 037</t>
        </is>
      </c>
      <c r="B42" s="275" t="inlineStr">
        <is>
          <t>37 Routing</t>
        </is>
      </c>
      <c r="C42" s="275" t="inlineStr">
        <is>
          <t>Multi-Hop Routing Foundation</t>
        </is>
      </c>
      <c r="D42" s="275" t="inlineStr">
        <is>
          <t>Add multi-hop routing foundation fields and route decision behavior while preserving real 2-node Chat LoRa delivery.</t>
        </is>
      </c>
      <c r="E42" s="275" t="inlineStr">
        <is>
          <t>PASS: multi-hop fields active and existing bidirectional 2-node Chat LoRa path still works.</t>
        </is>
      </c>
      <c r="F42" s="276" t="inlineStr">
        <is>
          <t>Completed / PASS</t>
        </is>
      </c>
      <c r="G42" s="275" t="inlineStr">
        <is>
          <t>User + Codex</t>
        </is>
      </c>
      <c r="H42" s="275" t="n"/>
      <c r="I42" s="275" t="inlineStr">
        <is>
          <t>2026-05-22</t>
        </is>
      </c>
      <c r="J42" s="275" t="inlineStr">
        <is>
          <t>Multi-hop routing foundation added and validated without breaking real 2-node LoRa Chat delivery.</t>
        </is>
      </c>
      <c r="K42" s="275"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Repo https://github.com/pagibetech/pup-manet-emergency-messaging; branch step-002-003-esp32-simulation; implementation commit f7e2501.</t>
        </is>
      </c>
      <c r="L42" s="275" t="inlineStr">
        <is>
          <t>Multi-hop fields are active while the confirmed two-node real Chat LoRa path remains intact. Next incomplete step: STEP 038 - Real Multi-Hop Relay Validation.</t>
        </is>
      </c>
      <c r="M42" s="257" t="n"/>
      <c r="N42" s="257" t="n"/>
      <c r="O42" s="257" t="n"/>
      <c r="P42" s="257" t="n"/>
      <c r="Q42" s="257" t="n"/>
      <c r="R42" s="257" t="n"/>
      <c r="S42" s="257" t="n"/>
      <c r="T42" s="257" t="n"/>
      <c r="U42" s="257" t="n"/>
      <c r="V42" s="257" t="n"/>
      <c r="W42" s="257" t="n"/>
      <c r="X42" s="257" t="n"/>
      <c r="Y42" s="257" t="n"/>
      <c r="Z42" s="257" t="n"/>
    </row>
    <row r="43" ht="15" customHeight="1" s="51">
      <c r="A43" s="276" t="inlineStr">
        <is>
          <t>STEP 038</t>
        </is>
      </c>
      <c r="B43" s="275" t="inlineStr">
        <is>
          <t>38 Routing</t>
        </is>
      </c>
      <c r="C43" s="275" t="inlineStr">
        <is>
          <t>Real Multi-Hop Relay Validation</t>
        </is>
      </c>
      <c r="D43" s="275" t="inlineStr">
        <is>
          <t>Validate STEP038 real multi-hop relay behavior and keep it as stable baseline firmware, not final gateway firmware.</t>
        </is>
      </c>
      <c r="E43" s="275" t="inlineStr">
        <is>
          <t>PASS: stable STEP038 baseline firmware with TTL, hopCount, duplicate suppression, Bluetooth bridge, and LoRa forwarding valid.</t>
        </is>
      </c>
      <c r="F43" s="276" t="inlineStr">
        <is>
          <t>Completed / PASS</t>
        </is>
      </c>
      <c r="G43" s="275" t="inlineStr">
        <is>
          <t>User + Codex</t>
        </is>
      </c>
      <c r="H43" s="275" t="n"/>
      <c r="I43" s="275" t="inlineStr">
        <is>
          <t>2026-05-23</t>
        </is>
      </c>
      <c r="J43" s="275" t="inlineStr">
        <is>
          <t>STEP038 ESP32 firmware is considered Stable STEP038 baseline firmware, not final firmware. Future gateway-mode enhancements remain planned.</t>
        </is>
      </c>
      <c r="K43" s="275" t="inlineStr">
        <is>
          <t>Commit 102ffe9 fix(step038): enforce TTL drop before relay delivery. Existing ESP32 routing logic remains valid: TTL, hopCount, duplicate suppression, Bluetooth bridge, LoRa forwarding.</t>
        </is>
      </c>
      <c r="L43" s="275" t="inlineStr">
        <is>
          <t>Future ESP32 firmware will support NODE mode and GATEWAY mode. STEP035-038 preserved as PASS.</t>
        </is>
      </c>
      <c r="M43" s="257" t="n"/>
      <c r="N43" s="257" t="n"/>
      <c r="O43" s="257" t="n"/>
      <c r="P43" s="257" t="n"/>
      <c r="Q43" s="257" t="n"/>
      <c r="R43" s="257" t="n"/>
      <c r="S43" s="257" t="n"/>
      <c r="T43" s="257" t="n"/>
      <c r="U43" s="257" t="n"/>
      <c r="V43" s="257" t="n"/>
      <c r="W43" s="257" t="n"/>
      <c r="X43" s="257" t="n"/>
      <c r="Y43" s="257" t="n"/>
      <c r="Z43" s="257" t="n"/>
    </row>
    <row r="44" ht="15" customHeight="1" s="51">
      <c r="A44" s="276" t="inlineStr">
        <is>
          <t>STEP 039</t>
        </is>
      </c>
      <c r="B44" s="275" t="inlineStr">
        <is>
          <t>39 Gateway Backhaul</t>
        </is>
      </c>
      <c r="C44" s="275" t="inlineStr">
        <is>
          <t>Raspberry Pi Tailscale Gateway Backhaul Architecture</t>
        </is>
      </c>
      <c r="D44" s="275" t="inlineStr">
        <is>
          <t>Finalize architecture replacing WiFi Router A &lt;-&gt; WiFi Router B simulated satellite link with Raspberry Pi 3B Gateway A &lt;-&gt; Tailscale VPN Tunnel over Internet &lt;-&gt; Raspberry Pi 3B Gateway B.</t>
        </is>
      </c>
      <c r="E44" s="275" t="inlineStr">
        <is>
          <t>Architecture records primary internet/Tailscale tunnel, LoRa backup backhaul, GSM optional fallback, firmware baseline status, and future gateway capabilities.</t>
        </is>
      </c>
      <c r="F44" s="276" t="inlineStr">
        <is>
          <t>Architecture Finalized / Implementation Pending</t>
        </is>
      </c>
      <c r="G44" s="275" t="inlineStr">
        <is>
          <t>User + Codex</t>
        </is>
      </c>
      <c r="H44" s="275" t="n"/>
      <c r="I44" s="275" t="inlineStr">
        <is>
          <t>2026-05-23</t>
        </is>
      </c>
      <c r="J44" s="275" t="inlineStr">
        <is>
          <t>Internet backhaul is now the primary gateway transport; Tailscale VPN is the primary encrypted tunnel; Ethernet/WiFi internet connectivity is preferred; LoRa-to-LoRa gateway backhaul is backup if internet is unavailable; GSM/cellular remains optional future fallback. Priority 1: Local LoRa MANET; Priority 2: Tailscale VPN gateway tunnel; Priority 3: Long-range LoRa gateway backup; Priority 4: GSM/cellular optional fallback.</t>
        </is>
      </c>
      <c r="K44" s="275" t="inlineStr">
        <is>
          <t>Workbook + continuity docs updated. No source/APK/PlatformIO/Android project files changed.</t>
        </is>
      </c>
      <c r="L44" s="275" t="inlineStr">
        <is>
          <t>Future gateway capabilities: store-and-forward queue; gateway ACK tracking; heartbeat monitoring; peer online detection; automatic reconnect; gateway relay mode; LoRa backup backhaul mode. STEP038 ESP32 firmware is not final; it is the Stable STEP038 baseline firmware. Existing TTL, hopCount, duplicate suppression, Bluetooth bridge, and LoRa forwarding logic remains valid. Future firmware will support NODE mode and GATEWAY mode.</t>
        </is>
      </c>
      <c r="M44" s="257" t="n"/>
      <c r="N44" s="257" t="n"/>
      <c r="O44" s="257" t="n"/>
      <c r="P44" s="257" t="n"/>
      <c r="Q44" s="257" t="n"/>
      <c r="R44" s="257" t="n"/>
      <c r="S44" s="257" t="n"/>
      <c r="T44" s="257" t="n"/>
      <c r="U44" s="257" t="n"/>
      <c r="V44" s="257" t="n"/>
      <c r="W44" s="257" t="n"/>
      <c r="X44" s="257" t="n"/>
      <c r="Y44" s="257" t="n"/>
      <c r="Z44" s="257" t="n"/>
    </row>
    <row r="45" ht="15" customHeight="1" s="51">
      <c r="A45" s="276" t="inlineStr">
        <is>
          <t>STEP040B</t>
        </is>
      </c>
      <c r="B45" s="275" t="inlineStr">
        <is>
          <t>40 Gateway Backhaul</t>
        </is>
      </c>
      <c r="C45" s="275" t="inlineStr">
        <is>
          <t>Python Gateway TCP Relay Service</t>
        </is>
      </c>
      <c r="D45" s="275" t="inlineStr">
        <is>
          <t>Validate Python gateway TCP relay service over Tailscale VPN between Raspberry Pi gateways.</t>
        </is>
      </c>
      <c r="E45" s="275" t="inlineStr">
        <is>
          <t>PASS: JSON relay, ACK, and heartbeat packets work over Tailscale TCP port 5050.</t>
        </is>
      </c>
      <c r="F45" s="276" t="inlineStr">
        <is>
          <t>Completed / PASS</t>
        </is>
      </c>
      <c r="G45" s="275" t="inlineStr">
        <is>
          <t>User + Codex</t>
        </is>
      </c>
      <c r="H45" s="275" t="inlineStr"/>
      <c r="I45" s="275" t="inlineStr">
        <is>
          <t>2026-05-24</t>
        </is>
      </c>
      <c r="J45" s="275" t="inlineStr">
        <is>
          <t>Python gateway TCP relay successfully transferred JSON messages from Gateway A to Gateway B through Tailscale VPN.</t>
        </is>
      </c>
      <c r="K45" s="275"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L45" s="275" t="inlineStr">
        <is>
          <t>Gateway-to-gateway encrypted internet tunnel is operational. 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 Next incomplete task: STEP041 - ESP32-to-Raspberry Pi Serial Bridge Integration. Do not mark ESP32 serial integration complete until validated.</t>
        </is>
      </c>
      <c r="M45" s="45" t="n"/>
      <c r="N45" s="45" t="n"/>
      <c r="O45" s="45" t="n"/>
      <c r="P45" s="45" t="n"/>
      <c r="Q45" s="45" t="n"/>
      <c r="R45" s="45" t="n"/>
      <c r="S45" s="45" t="n"/>
      <c r="T45" s="45" t="n"/>
      <c r="U45" s="45" t="n"/>
      <c r="V45" s="45" t="n"/>
      <c r="W45" s="45" t="n"/>
      <c r="X45" s="45" t="n"/>
      <c r="Y45" s="45" t="n"/>
      <c r="Z45" s="45" t="n"/>
    </row>
    <row r="46" ht="15" customHeight="1" s="51">
      <c r="A46" s="276" t="inlineStr">
        <is>
          <t>STEP041</t>
        </is>
      </c>
      <c r="B46" s="275" t="inlineStr">
        <is>
          <t>41 Gateway Integration</t>
        </is>
      </c>
      <c r="C46" s="275" t="inlineStr">
        <is>
          <t>ESP32-to-Raspberry Pi Serial Bridge Integration</t>
        </is>
      </c>
      <c r="D46" s="275" t="inlineStr">
        <is>
          <t>Connect ESP32 gateway node to Raspberry Pi via USB serial and pass BT-MANET/LORA protocol JSON lines between ESP32 and Raspberry Pi gateway service.</t>
        </is>
      </c>
      <c r="E46" s="275" t="inlineStr">
        <is>
          <t>Expected: ESP32 gateway node exchanges BT-MANET/LORA protocol JSON lines with the Raspberry Pi gateway service over USB serial.</t>
        </is>
      </c>
      <c r="F46" s="276" t="inlineStr">
        <is>
          <t>Completed / PASS</t>
        </is>
      </c>
      <c r="G46" s="275" t="inlineStr">
        <is>
          <t>User + Codex</t>
        </is>
      </c>
      <c r="H46" s="275" t="inlineStr"/>
      <c r="I46" s="275" t="inlineStr">
        <is>
          <t>2026-05-30</t>
        </is>
      </c>
      <c r="J46" s="275" t="inlineStr">
        <is>
          <t>PASS: Gateway service opened /dev/ttyUSB0 on both Raspberry Pis. Gateway B sent STEP041-FINAL-001 over TCP to Gateway A. Gateway A logged [TCP_RX] and [SERIAL_TX]. ESP32 logged [GATEWAY_SERIAL_PARSE] with valid=true. ESP32 route engine executed [ROUTE_DECISION] and [LORA_TX]. Full bidirectional path validated: ESP32 -&gt; SERIAL_RX -&gt; Gateway -&gt; TCP -&gt; Peer Gateway -&gt; SERIAL_TX -&gt; ESP32 -&gt; LORA_TX.</t>
        </is>
      </c>
      <c r="K46" s="275" t="inlineStr">
        <is>
          <t>Gateway A/B serial logs; ESP32 GATEWAY_SERIAL_PARSE valid=true; ROUTE_DECISION; LORA_TX; gateway_service.py backup at raspberry-pi-gateway/gateway_service.py.backup-step041</t>
        </is>
      </c>
      <c r="L46" s="275" t="inlineStr">
        <is>
          <t>Bug fix: gateway_service.py now ignores non-[GW_JSON] serial lines to prevent ESP32 boot/debug logs from being parsed as JSON. Only [GW_JSON]-prefixed lines are deserialized and relayed.</t>
        </is>
      </c>
      <c r="M46" s="45" t="n"/>
      <c r="N46" s="45" t="n"/>
      <c r="O46" s="45" t="n"/>
      <c r="P46" s="45" t="n"/>
      <c r="Q46" s="45" t="n"/>
      <c r="R46" s="45" t="n"/>
      <c r="S46" s="45" t="n"/>
      <c r="T46" s="45" t="n"/>
      <c r="U46" s="45" t="n"/>
      <c r="V46" s="45" t="n"/>
      <c r="W46" s="45" t="n"/>
      <c r="X46" s="45" t="n"/>
      <c r="Y46" s="45" t="n"/>
      <c r="Z46" s="45" t="n"/>
    </row>
    <row r="47" ht="15" customHeight="1" s="51">
      <c r="A47" s="276" t="inlineStr">
        <is>
          <t>STEP042A</t>
        </is>
      </c>
      <c r="B47" s="275" t="inlineStr">
        <is>
          <t>42A Node Discovery</t>
        </is>
      </c>
      <c r="C47" s="275" t="inlineStr">
        <is>
          <t>Node Discovery and Reachability</t>
        </is>
      </c>
      <c r="D47" s="275" t="inlineStr">
        <is>
          <t>Implement node discovery with HELLO broadcasts (10-sec interval), offline timeout (30 sec), and NODE_LIST export for online/reachable nodes. Default node IDs: nodeA1, nodeA2, nodeA3, nodeB1, nodeB2, nodeB3. One Android phone maximum per node.</t>
        </is>
      </c>
      <c r="E47" s="275" t="inlineStr">
        <is>
          <t>PASS for nodeA1/nodeA2/gatewayA/gatewayB discovery propagation. nodeA3 remains pending.</t>
        </is>
      </c>
      <c r="F47" s="276" t="inlineStr">
        <is>
          <t>Physically Validated / PASS - Mesh-Wide Discovery Scope</t>
        </is>
      </c>
      <c r="G47" s="275" t="inlineStr">
        <is>
          <t>User + Codex</t>
        </is>
      </c>
      <c r="H47" s="275" t="inlineStr">
        <is>
          <t>2026-06-04</t>
        </is>
      </c>
      <c r="I47" s="275" t="inlineStr">
        <is>
          <t>2026-06-07</t>
        </is>
      </c>
      <c r="J47" s="275" t="inlineStr">
        <is>
          <t>PASS: STEP042A discovery now includes gatewayB after STEP045A mesh-wide presence propagation.</t>
        </is>
      </c>
      <c r="K47" s="275" t="inlineStr">
        <is>
          <t>Physical Android validation PASS after flashing gatewayA, gatewayB, nodeA1, and nodeA2. Android Nodes shows Gateway A: nodeA1 ONLINE, gatewayA ONLINE, nodeA2 ONLINE; Gateway B: gatewayB ONLINE.</t>
        </is>
      </c>
      <c r="L47" s="275" t="inlineStr">
        <is>
          <t>Scope clarification: nodeA3 is not deployed, and Android cleanup still needs live discovered-node destination selection. Do not start STEP042C/D yet.</t>
        </is>
      </c>
      <c r="M47" s="45" t="n"/>
      <c r="N47" s="45" t="n"/>
      <c r="O47" s="45" t="n"/>
      <c r="P47" s="45" t="n"/>
      <c r="Q47" s="45" t="n"/>
      <c r="R47" s="45" t="n"/>
      <c r="S47" s="45" t="n"/>
      <c r="T47" s="45" t="n"/>
      <c r="U47" s="45" t="n"/>
      <c r="V47" s="45" t="n"/>
      <c r="W47" s="45" t="n"/>
      <c r="X47" s="45" t="n"/>
      <c r="Y47" s="45" t="n"/>
      <c r="Z47" s="45" t="n"/>
    </row>
    <row r="48">
      <c r="A48" s="258" t="inlineStr">
        <is>
          <t>STEP042B</t>
        </is>
      </c>
      <c r="B48" s="258" t="inlineStr">
        <is>
          <t>42B Destination Messaging</t>
        </is>
      </c>
      <c r="C48" s="258" t="inlineStr">
        <is>
          <t>Destination Messaging</t>
        </is>
      </c>
      <c r="D48" s="258" t="inlineStr">
        <is>
          <t>Implement addressed destination messaging between nodes across local MANET and remote gateway networks. Messages are routed to specific destination node IDs.</t>
        </is>
      </c>
      <c r="E48" s="258" t="inlineStr">
        <is>
          <t>PASS for bidirectional 2-node Android-to-Android LoRa messaging between nodeA1 and nodeA2.</t>
        </is>
      </c>
      <c r="F48" s="258" t="inlineStr">
        <is>
          <t>Physically Validated / PASS - 2-node LoRa Messaging Only</t>
        </is>
      </c>
      <c r="G48" s="258" t="inlineStr">
        <is>
          <t>User + Codex</t>
        </is>
      </c>
      <c r="H48" s="258" t="inlineStr">
        <is>
          <t>2026-06-05</t>
        </is>
      </c>
      <c r="I48" s="258" t="inlineStr">
        <is>
          <t>2026-06-05</t>
        </is>
      </c>
      <c r="J48" s="258" t="inlineStr">
        <is>
          <t>PASS: Bidirectional Android-to-Android LoRa bridge validated for nodeA1 -&gt; nodeA2 and nodeA2 -&gt; nodeA1.</t>
        </is>
      </c>
      <c r="K48" s="258" t="inlineStr">
        <is>
          <t>Phone A sent "hello from A" and Phone B received it via LoRa on path nodeA1 -&gt; nodeA2. Phone B sent "hello from b" and Phone A received it via LoRa on path nodeA2 -&gt; nodeA1.</t>
        </is>
      </c>
      <c r="L48" s="258" t="inlineStr">
        <is>
          <t>Temporary Android validation mapping in MainActivity.kt: peerNodeForConnectedEsp32() changed from "nodeA2" -&gt; "nodeA3" to "nodeA2" -&gt; "nodeA1" because nodeA3 has not been deployed. Discovered node list works, but send destination must still be driven by live discovered nodes before broader validation.</t>
        </is>
      </c>
    </row>
    <row r="49">
      <c r="A49" t="inlineStr">
        <is>
          <t>STEP042C</t>
        </is>
      </c>
      <c r="B49" t="inlineStr">
        <is>
          <t>42C Delivery Tracking</t>
        </is>
      </c>
      <c r="C49" t="inlineStr">
        <is>
          <t>Delivery Tracking</t>
        </is>
      </c>
      <c r="D49" t="inlineStr">
        <is>
          <t>Implement message delivery tracking with three statuses: MESSAGE (sent), DELIVERED (received at destination node), SEEN (read by recipient Android user). Track per-message state end-to-end.</t>
        </is>
      </c>
      <c r="E49" t="inlineStr">
        <is>
          <t>Delivery tracking shows MESSAGE -&gt; DELIVERED -&gt; SEEN states in logs and future Android UI.</t>
        </is>
      </c>
      <c r="F49" t="inlineStr">
        <is>
          <t>Not Started</t>
        </is>
      </c>
      <c r="G49" t="inlineStr">
        <is>
          <t>User + Codex</t>
        </is>
      </c>
      <c r="L49" t="inlineStr">
        <is>
          <t>Clarified requirements 2026-06-02. Do not modify firmware, gateway, or Android code yet.</t>
        </is>
      </c>
    </row>
    <row r="50">
      <c r="A50" t="inlineStr">
        <is>
          <t>STEP042D</t>
        </is>
      </c>
      <c r="B50" t="inlineStr">
        <is>
          <t>42D Store-and-Forward</t>
        </is>
      </c>
      <c r="C50" t="inlineStr">
        <is>
          <t>Store-and-Forward</t>
        </is>
      </c>
      <c r="D50" t="inlineStr">
        <is>
          <t>Implement store-and-forward queue for messages sent to offline or unreachable nodes. Buffer on gateway or intermediate node and retry delivery when destination becomes reachable again. Preserve FIFO order.</t>
        </is>
      </c>
      <c r="E50" t="inlineStr">
        <is>
          <t>Messages to offline nodes are queued and delivered when node comes back online; no message loss during recovery.</t>
        </is>
      </c>
      <c r="F50" t="inlineStr">
        <is>
          <t>Not Started</t>
        </is>
      </c>
      <c r="G50" t="inlineStr">
        <is>
          <t>User + Codex</t>
        </is>
      </c>
      <c r="L50" t="inlineStr">
        <is>
          <t>Clarified requirements 2026-06-02. Do not modify firmware, gateway, or Android code yet.</t>
        </is>
      </c>
    </row>
    <row r="51">
      <c r="A51" s="49" t="inlineStr">
        <is>
          <t>STEP043</t>
        </is>
      </c>
      <c r="B51" s="49" t="inlineStr">
        <is>
          <t>43 Gateway Discovery</t>
        </is>
      </c>
      <c r="C51" s="49" t="inlineStr">
        <is>
          <t>Fix LoRa HELLO Packet Format</t>
        </is>
      </c>
      <c r="D51" s="49" t="inlineStr">
        <is>
          <t>Correct STEP043 by keeping compact BT1 LoRa relay packets and fixing receiver-side compact HELLO parse/learn behavior.</t>
        </is>
      </c>
      <c r="E51" s="49" t="inlineStr">
        <is>
          <t>PASS: compact gateway discovery works and TEST_FINAL_001 gatewayB -&gt; gatewayA was received.</t>
        </is>
      </c>
      <c r="F51" s="49" t="inlineStr">
        <is>
          <t>Completed / PASS</t>
        </is>
      </c>
      <c r="G51" s="49" t="inlineStr">
        <is>
          <t>User + Codex</t>
        </is>
      </c>
      <c r="H51" s="49" t="inlineStr">
        <is>
          <t>2026-06-05</t>
        </is>
      </c>
      <c r="I51" s="49" t="inlineStr">
        <is>
          <t>2026-06-06</t>
        </is>
      </c>
      <c r="J51" s="49" t="inlineStr">
        <is>
          <t>PASS: Gateway A and Gateway B discover each other over compact BT1 HELLO packets; TEST_FINAL_001 from gatewayB to gatewayA was received.</t>
        </is>
      </c>
      <c r="K51" s="49" t="inlineStr">
        <is>
          <t>Final current LoRa protocol remains compact BT1. Corrected receiver-side compact HELLO parsing/learning preserved gateway discovery.</t>
        </is>
      </c>
      <c r="L51" s="49" t="inlineStr">
        <is>
          <t>Next: STEP044 strict compact BT1 validation to reject corrupt packets before neighbor learning/routing.</t>
        </is>
      </c>
      <c r="M51" s="1" t="n"/>
      <c r="N51" s="1" t="n"/>
      <c r="O51" s="1" t="n"/>
      <c r="P51" s="1" t="n"/>
      <c r="Q51" s="1" t="n"/>
      <c r="R51" s="1" t="n"/>
      <c r="S51" s="1" t="n"/>
      <c r="T51" s="1" t="n"/>
      <c r="U51" s="1" t="n"/>
      <c r="V51" s="1" t="n"/>
      <c r="W51" s="1" t="n"/>
      <c r="X51" s="1" t="n"/>
      <c r="Y51" s="1" t="n"/>
      <c r="Z51" s="1" t="n"/>
    </row>
    <row r="52" s="51">
      <c r="A52" s="49" t="inlineStr">
        <is>
          <t>STEP044</t>
        </is>
      </c>
      <c r="B52" s="49" t="inlineStr">
        <is>
          <t>44 LoRa Validation</t>
        </is>
      </c>
      <c r="C52" s="49" t="inlineStr">
        <is>
          <t>Strict Compact BT1 LoRa Packet Validation</t>
        </is>
      </c>
      <c r="D52" s="49" t="inlineStr">
        <is>
          <t>Harden compact BT1 LoRa RX parser so malformed packets are rejected before neighbor learning or routing.</t>
        </is>
      </c>
      <c r="E52" s="49" t="inlineStr">
        <is>
          <t>PASS: malformed compact packets log [LORA_DROP_CORRUPT] and do not create/update bad neighbors; known-good gateway/node parsing remains working.</t>
        </is>
      </c>
      <c r="F52" s="49" t="inlineStr">
        <is>
          <t>Completed / PASS</t>
        </is>
      </c>
      <c r="G52" s="49" t="inlineStr">
        <is>
          <t>Codex</t>
        </is>
      </c>
      <c r="H52" s="49" t="inlineStr">
        <is>
          <t>2026-06-06</t>
        </is>
      </c>
      <c r="I52" s="1" t="inlineStr">
        <is>
          <t>2026-06-06</t>
        </is>
      </c>
      <c r="J52" s="49" t="inlineStr">
        <is>
          <t>PASS: STEP044 physically validated under RF stress with gatewayA, gatewayB, nodeA1, and nodeA2 active.</t>
        </is>
      </c>
      <c r="K52"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 Build PASS after corrective fix: pio run -e gatewayA_lora -e gatewayB_lora -e nodeA1_lora -e nodeA2_lora.</t>
        </is>
      </c>
      <c r="L52" s="49" t="inlineStr">
        <is>
          <t>STEP044 remains preserved by STEP045A. Compact BT1 corrupt-packet rejection must not regress during STEP045B Android cleanup.</t>
        </is>
      </c>
      <c r="M52" s="1" t="n"/>
      <c r="N52" s="1" t="n"/>
      <c r="O52" s="1" t="n"/>
      <c r="P52" s="1" t="n"/>
      <c r="Q52" s="1" t="n"/>
      <c r="R52" s="1" t="n"/>
      <c r="S52" s="1" t="n"/>
      <c r="T52" s="1" t="n"/>
      <c r="U52" s="1" t="n"/>
      <c r="V52" s="1" t="n"/>
      <c r="W52" s="1" t="n"/>
      <c r="X52" s="1" t="n"/>
      <c r="Y52" s="1" t="n"/>
      <c r="Z52" s="1" t="n"/>
    </row>
    <row r="53" s="51">
      <c r="A53" s="49" t="inlineStr">
        <is>
          <t>STEP045A</t>
        </is>
      </c>
      <c r="B53" s="49" t="inlineStr">
        <is>
          <t>45A Discovery</t>
        </is>
      </c>
      <c r="C53" s="49" t="inlineStr">
        <is>
          <t>Mesh-Wide Presence Propagation</t>
        </is>
      </c>
      <c r="D53" s="49" t="inlineStr">
        <is>
          <t>Propagate valid compact BT1 HELLO presence across the local mesh so gatewayB learned by gatewayA can reach Android-connected node tables.</t>
        </is>
      </c>
      <c r="E53" s="49" t="inlineStr">
        <is>
          <t>PASS: Android Nodes shows nodeA1, gatewayA, nodeA2, and gatewayB ONLINE after flashing gatewayA/gatewayB/nodeA1/nodeA2.</t>
        </is>
      </c>
      <c r="F53" s="49" t="inlineStr">
        <is>
          <t>Completed / PASS</t>
        </is>
      </c>
      <c r="G53" s="49" t="inlineStr">
        <is>
          <t>User + Codex</t>
        </is>
      </c>
      <c r="H53" s="49" t="inlineStr">
        <is>
          <t>2026-06-07</t>
        </is>
      </c>
      <c r="I53" s="1" t="inlineStr">
        <is>
          <t>2026-06-07</t>
        </is>
      </c>
      <c r="J53" s="49" t="inlineStr">
        <is>
          <t>Mesh-wide presence propagation added and physically validated without weakening STEP044 strict corrupt-packet rejection.</t>
        </is>
      </c>
      <c r="K53" s="49" t="inlineStr">
        <is>
          <t>Physical Android validation PASS after flashing gatewayA, gatewayB, nodeA1, and nodeA2. Android Nodes shows Gateway A: nodeA1 ONLINE, gatewayA ONLINE, nodeA2 ONLINE; Gateway B: gatewayB ONLINE. Build PASS: pio run -e gatewayA_lora -e gatewayB_lora -e nodeA1_lora -e nodeA2_lora.</t>
        </is>
      </c>
      <c r="L53" s="49"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Next incomplete step: STEP045B Android Real-Network Cleanup.</t>
        </is>
      </c>
      <c r="M53" s="257" t="n"/>
      <c r="N53" s="257" t="n"/>
      <c r="O53" s="257" t="n"/>
      <c r="P53" s="257" t="n"/>
      <c r="Q53" s="257" t="n"/>
      <c r="R53" s="257" t="n"/>
      <c r="S53" s="257" t="n"/>
      <c r="T53" s="257" t="n"/>
      <c r="U53" s="257" t="n"/>
      <c r="V53" s="257" t="n"/>
      <c r="W53" s="257" t="n"/>
      <c r="X53" s="257" t="n"/>
      <c r="Y53" s="257" t="n"/>
      <c r="Z53" s="257" t="n"/>
    </row>
    <row r="54" s="51">
      <c r="A54" s="49" t="inlineStr">
        <is>
          <t>STEP045B</t>
        </is>
      </c>
      <c r="B54" s="49" t="inlineStr">
        <is>
          <t>45B Android</t>
        </is>
      </c>
      <c r="C54" s="49" t="inlineStr">
        <is>
          <t>Android Real-Network Cleanup</t>
        </is>
      </c>
      <c r="D54" s="49" t="inlineStr">
        <is>
          <t>Clean Android UI and Chat routing so real discovered nodes drive display and destination selection after STEP045A.</t>
        </is>
      </c>
      <c r="E54" s="49" t="inlineStr">
        <is>
          <t>PASS: Android uses live discovered node IDs, selected live destination, and live LoRa route state on physical hardware.</t>
        </is>
      </c>
      <c r="F54" s="49" t="inlineStr">
        <is>
          <t>Completed / PASS</t>
        </is>
      </c>
      <c r="G54" s="49" t="inlineStr">
        <is>
          <t>User + Codex</t>
        </is>
      </c>
      <c r="H54" s="49" t="inlineStr">
        <is>
          <t>2026-06-07</t>
        </is>
      </c>
      <c r="I54" s="1" t="inlineStr">
        <is>
          <t>2026-06-07</t>
        </is>
      </c>
      <c r="J54" s="49" t="inlineStr">
        <is>
          <t>Android real-network cleanup added and physically validated.</t>
        </is>
      </c>
      <c r="K54" s="49" t="inlineStr">
        <is>
          <t>STEP045B physical Android hardware validation PASS. Android UI and Chat use live discovered node IDs; Chat destination is selected from discoveredNodes; local connected node is excluded; Route tab shows live LoRa route state when real nodes exist. Build PASS: JAVA_HOME="/Applications/Android Studio.app/Contents/jbr/Contents/Home" ./gradlew :app:assembleDebug.</t>
        </is>
      </c>
      <c r="L54" s="49" t="inlineStr">
        <is>
          <t>Android-only cleanup in MainActivity.kt: live destination state from discoveredNodes, hardcoded peer mapping removed from Chat send, fallback destination only when NODE_LIST is empty and labeled fallback, simulation-era labels removed or marked fallback/lab state. Next action: continue only from the next incomplete workbook task after STEP045B. Do not start STEP042C/D unless explicitly routed.</t>
        </is>
      </c>
      <c r="M54" s="257" t="n"/>
      <c r="N54" s="257" t="n"/>
      <c r="O54" s="257" t="n"/>
      <c r="P54" s="257" t="n"/>
      <c r="Q54" s="257" t="n"/>
      <c r="R54" s="257" t="n"/>
      <c r="S54" s="257" t="n"/>
      <c r="T54" s="257" t="n"/>
      <c r="U54" s="257" t="n"/>
      <c r="V54" s="257" t="n"/>
      <c r="W54" s="257" t="n"/>
      <c r="X54" s="257" t="n"/>
      <c r="Y54" s="257" t="n"/>
      <c r="Z54" s="257" t="n"/>
    </row>
    <row r="55">
      <c r="A55" s="49" t="inlineStr">
        <is>
          <t>STEP046A</t>
        </is>
      </c>
      <c r="B55" s="49" t="inlineStr">
        <is>
          <t>46A Routing Lab</t>
        </is>
      </c>
      <c r="C55" s="49" t="inlineStr">
        <is>
          <t>Controlled Multi-Hop Lab Mode</t>
        </is>
      </c>
      <c r="D55" s="49" t="inlineStr">
        <is>
          <t>Add compile-time ESP32 lab mode TEST_FORCE_GATEWAY_ROUTE to force nodeA1/nodeA2 messages through gatewayA/gatewayB on a short-range indoor bench.</t>
        </is>
      </c>
      <c r="E55" s="49" t="inlineStr">
        <is>
          <t>Build PASS; physical lab validation must confirm forced gateway path both directions without regressing compact BT1 validation, discovery, or normal production routing.</t>
        </is>
      </c>
      <c r="F55" s="49" t="inlineStr">
        <is>
          <t>Implemented / Build PASS</t>
        </is>
      </c>
      <c r="G55" s="49" t="inlineStr">
        <is>
          <t>Codex</t>
        </is>
      </c>
      <c r="H55" s="49" t="inlineStr">
        <is>
          <t>2026-06-07</t>
        </is>
      </c>
      <c r="I55" s="1" t="n"/>
      <c r="J55" s="49" t="inlineStr">
        <is>
          <t>Implementation approved; four PlatformIO LoRa builds pass; physical lab-mode validation pending.</t>
        </is>
      </c>
      <c r="K55" s="49" t="inlineStr">
        <is>
          <t>Build PASS: pio run -e gatewayA_lora -e gatewayB_lora -e nodeA1_lora -e nodeA2_lora. git diff --check PASS.</t>
        </is>
      </c>
      <c r="L55" s="49" t="inlineStr">
        <is>
          <t>Default TEST_FORCE_GATEWAY_ROUTE=0 preserves production behavior. Lab expected paths: nodeA1 -&gt; gatewayA -&gt; gatewayB -&gt; nodeA2 and nodeA2 -&gt; gatewayB -&gt; gatewayA -&gt; nodeA1. Direct overheard forced-route packets are ignored before duplicate-cache insertion.</t>
        </is>
      </c>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57" t="n"/>
      <c r="B201" s="257" t="n"/>
      <c r="C201" s="257" t="n"/>
      <c r="D201" s="257" t="n"/>
      <c r="E201" s="257" t="n"/>
      <c r="F201" s="257" t="n"/>
      <c r="G201" s="257" t="n"/>
      <c r="H201" s="257" t="n"/>
      <c r="I201" s="257" t="n"/>
      <c r="J201" s="257" t="n"/>
      <c r="K201" s="257" t="n"/>
      <c r="L201" s="257" t="n"/>
      <c r="M201" s="257" t="n"/>
      <c r="N201" s="257" t="n"/>
      <c r="O201" s="257" t="n"/>
      <c r="P201" s="257" t="n"/>
      <c r="Q201" s="257" t="n"/>
      <c r="R201" s="257" t="n"/>
      <c r="S201" s="257" t="n"/>
      <c r="T201" s="257" t="n"/>
      <c r="U201" s="257" t="n"/>
      <c r="V201" s="257" t="n"/>
      <c r="W201" s="257" t="n"/>
      <c r="X201" s="257" t="n"/>
      <c r="Y201" s="257" t="n"/>
      <c r="Z201" s="257" t="n"/>
    </row>
    <row r="202">
      <c r="A202" s="257" t="n"/>
      <c r="B202" s="257" t="n"/>
      <c r="C202" s="257" t="n"/>
      <c r="D202" s="257" t="n"/>
      <c r="E202" s="257" t="n"/>
      <c r="F202" s="257" t="n"/>
      <c r="G202" s="257" t="n"/>
      <c r="H202" s="257" t="n"/>
      <c r="I202" s="257" t="n"/>
      <c r="J202" s="257" t="n"/>
      <c r="K202" s="257" t="n"/>
      <c r="L202" s="257" t="n"/>
      <c r="M202" s="257" t="n"/>
      <c r="N202" s="257" t="n"/>
      <c r="O202" s="257" t="n"/>
      <c r="P202" s="257" t="n"/>
      <c r="Q202" s="257" t="n"/>
      <c r="R202" s="257" t="n"/>
      <c r="S202" s="257" t="n"/>
      <c r="T202" s="257" t="n"/>
      <c r="U202" s="257" t="n"/>
      <c r="V202" s="257" t="n"/>
      <c r="W202" s="257" t="n"/>
      <c r="X202" s="257" t="n"/>
      <c r="Y202" s="257" t="n"/>
      <c r="Z202" s="257" t="n"/>
    </row>
    <row r="203">
      <c r="A203" s="257" t="n"/>
      <c r="B203" s="257" t="n"/>
      <c r="C203" s="257" t="n"/>
      <c r="D203" s="257" t="n"/>
      <c r="E203" s="257" t="n"/>
      <c r="F203" s="257" t="n"/>
      <c r="G203" s="257" t="n"/>
      <c r="H203" s="257" t="n"/>
      <c r="I203" s="257" t="n"/>
      <c r="J203" s="257" t="n"/>
      <c r="K203" s="257" t="n"/>
      <c r="L203" s="257" t="n"/>
      <c r="M203" s="257" t="n"/>
      <c r="N203" s="257" t="n"/>
      <c r="O203" s="257" t="n"/>
      <c r="P203" s="257" t="n"/>
      <c r="Q203" s="257" t="n"/>
      <c r="R203" s="257" t="n"/>
      <c r="S203" s="257" t="n"/>
      <c r="T203" s="257" t="n"/>
      <c r="U203" s="257" t="n"/>
      <c r="V203" s="257" t="n"/>
      <c r="W203" s="257" t="n"/>
      <c r="X203" s="257" t="n"/>
      <c r="Y203" s="257" t="n"/>
      <c r="Z203" s="257" t="n"/>
    </row>
    <row r="204">
      <c r="A204" s="257" t="n"/>
      <c r="B204" s="257" t="n"/>
      <c r="C204" s="257" t="n"/>
      <c r="D204" s="257" t="n"/>
      <c r="E204" s="257" t="n"/>
      <c r="F204" s="257" t="n"/>
      <c r="G204" s="257" t="n"/>
      <c r="H204" s="257" t="n"/>
      <c r="I204" s="257" t="n"/>
      <c r="J204" s="257" t="n"/>
      <c r="K204" s="257" t="n"/>
      <c r="L204" s="257" t="n"/>
      <c r="M204" s="257" t="n"/>
      <c r="N204" s="257" t="n"/>
      <c r="O204" s="257" t="n"/>
      <c r="P204" s="257" t="n"/>
      <c r="Q204" s="257" t="n"/>
      <c r="R204" s="257" t="n"/>
      <c r="S204" s="257" t="n"/>
      <c r="T204" s="257" t="n"/>
      <c r="U204" s="257" t="n"/>
      <c r="V204" s="257" t="n"/>
      <c r="W204" s="257" t="n"/>
      <c r="X204" s="257" t="n"/>
      <c r="Y204" s="257" t="n"/>
      <c r="Z204" s="257" t="n"/>
    </row>
  </sheetData>
  <mergeCells count="1">
    <mergeCell ref="A1:L1"/>
  </mergeCells>
  <dataValidations count="2">
    <dataValidation sqref="F3:F200" showDropDown="0" showInputMessage="0" showErrorMessage="0" allowBlank="0" type="list">
      <formula1>"Not Started,In Progress,Done,Blocked,Skipped"</formula1>
    </dataValidation>
    <dataValidation sqref="F3:F45"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8" customWidth="1" style="51" min="2" max="2"/>
    <col width="22" customWidth="1" style="51" min="3" max="3"/>
    <col width="38" customWidth="1" style="51" min="4" max="4"/>
    <col width="18" customWidth="1" style="51" min="5" max="5"/>
    <col width="12" customWidth="1" style="51" min="6" max="6"/>
    <col width="32" customWidth="1" style="51" min="7" max="7"/>
    <col width="34" customWidth="1" style="51" min="8" max="8"/>
    <col width="14" customWidth="1" style="51" min="9" max="9"/>
    <col width="42" customWidth="1" style="51" min="10" max="10"/>
  </cols>
  <sheetData>
    <row r="1">
      <c r="A1" s="44" t="inlineStr">
        <is>
          <t>Hardware Bill of Materials and Notes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Item</t>
        </is>
      </c>
      <c r="B3" s="42" t="inlineStr">
        <is>
          <t>Qty</t>
        </is>
      </c>
      <c r="C3" s="42" t="inlineStr">
        <is>
          <t>Use</t>
        </is>
      </c>
      <c r="D3" s="42" t="inlineStr">
        <is>
          <t>Recommended Spec</t>
        </is>
      </c>
      <c r="E3" s="42" t="inlineStr">
        <is>
          <t>Already Available?</t>
        </is>
      </c>
      <c r="F3" s="42" t="inlineStr">
        <is>
          <t>Priority</t>
        </is>
      </c>
      <c r="G3" s="42" t="inlineStr">
        <is>
          <t>Risk</t>
        </is>
      </c>
      <c r="H3" s="42" t="inlineStr">
        <is>
          <t>Validation Test</t>
        </is>
      </c>
      <c r="I3" s="42" t="inlineStr">
        <is>
          <t>Status</t>
        </is>
      </c>
      <c r="J3" s="42" t="inlineStr">
        <is>
          <t>Notes</t>
        </is>
      </c>
      <c r="K3" s="257" t="n"/>
      <c r="L3" s="257" t="n"/>
      <c r="M3" s="257" t="n"/>
      <c r="N3" s="257" t="n"/>
      <c r="O3" s="257" t="n"/>
      <c r="P3" s="257" t="n"/>
      <c r="Q3" s="257" t="n"/>
      <c r="R3" s="257" t="n"/>
      <c r="S3" s="257" t="n"/>
      <c r="T3" s="257" t="n"/>
      <c r="U3" s="257" t="n"/>
      <c r="V3" s="257" t="n"/>
      <c r="W3" s="257" t="n"/>
      <c r="X3" s="257" t="n"/>
      <c r="Y3" s="257" t="n"/>
      <c r="Z3" s="257" t="n"/>
    </row>
    <row r="4">
      <c r="A4" s="258" t="inlineStr">
        <is>
          <t>ESP32 Dev Board</t>
        </is>
      </c>
      <c r="B4" s="258" t="inlineStr">
        <is>
          <t>6+</t>
        </is>
      </c>
      <c r="C4" s="258" t="inlineStr">
        <is>
          <t>MANET nodes</t>
        </is>
      </c>
      <c r="D4" s="258" t="inlineStr">
        <is>
          <t>ESP32 WROOM-32 acceptable; ESP32-S3 optional</t>
        </is>
      </c>
      <c r="E4" s="258" t="inlineStr">
        <is>
          <t>Yes/confirm</t>
        </is>
      </c>
      <c r="F4" s="258" t="inlineStr">
        <is>
          <t>High</t>
        </is>
      </c>
      <c r="G4" s="258" t="inlineStr">
        <is>
          <t>Pin/library differences</t>
        </is>
      </c>
      <c r="H4" s="258" t="inlineStr">
        <is>
          <t>Blink + serial + LoRa init</t>
        </is>
      </c>
      <c r="I4" s="258" t="inlineStr">
        <is>
          <t>Planned</t>
        </is>
      </c>
      <c r="J4" s="258" t="inlineStr">
        <is>
          <t>Use same board type if possible.</t>
        </is>
      </c>
      <c r="K4" s="257" t="n"/>
      <c r="L4" s="257" t="n"/>
      <c r="M4" s="257" t="n"/>
      <c r="N4" s="257" t="n"/>
      <c r="O4" s="257" t="n"/>
      <c r="P4" s="257" t="n"/>
      <c r="Q4" s="257" t="n"/>
      <c r="R4" s="257" t="n"/>
      <c r="S4" s="257" t="n"/>
      <c r="T4" s="257" t="n"/>
      <c r="U4" s="257" t="n"/>
      <c r="V4" s="257" t="n"/>
      <c r="W4" s="257" t="n"/>
      <c r="X4" s="257" t="n"/>
      <c r="Y4" s="257" t="n"/>
      <c r="Z4" s="257" t="n"/>
    </row>
    <row r="5">
      <c r="A5" s="258" t="inlineStr">
        <is>
          <t>SX1278 Ra-02 433 MHz</t>
        </is>
      </c>
      <c r="B5" s="258" t="inlineStr">
        <is>
          <t>8</t>
        </is>
      </c>
      <c r="C5" s="258" t="inlineStr">
        <is>
          <t>6 nodes + 2 gateways</t>
        </is>
      </c>
      <c r="D5" s="258" t="inlineStr">
        <is>
          <t>433 MHz module with correct antenna</t>
        </is>
      </c>
      <c r="E5" s="258" t="inlineStr">
        <is>
          <t>Yes/confirm</t>
        </is>
      </c>
      <c r="F5" s="258" t="inlineStr">
        <is>
          <t>High</t>
        </is>
      </c>
      <c r="G5" s="258" t="inlineStr">
        <is>
          <t>Regulatory/power limits; bad antenna</t>
        </is>
      </c>
      <c r="H5" s="258" t="inlineStr">
        <is>
          <t>LoRa send/receive at short range</t>
        </is>
      </c>
      <c r="I5" s="258" t="inlineStr">
        <is>
          <t>Planned</t>
        </is>
      </c>
      <c r="J5" s="258" t="inlineStr">
        <is>
          <t>Use low power for prototype.</t>
        </is>
      </c>
      <c r="K5" s="257" t="n"/>
      <c r="L5" s="257" t="n"/>
      <c r="M5" s="257" t="n"/>
      <c r="N5" s="257" t="n"/>
      <c r="O5" s="257" t="n"/>
      <c r="P5" s="257" t="n"/>
      <c r="Q5" s="257" t="n"/>
      <c r="R5" s="257" t="n"/>
      <c r="S5" s="257" t="n"/>
      <c r="T5" s="257" t="n"/>
      <c r="U5" s="257" t="n"/>
      <c r="V5" s="257" t="n"/>
      <c r="W5" s="257" t="n"/>
      <c r="X5" s="257" t="n"/>
      <c r="Y5" s="257" t="n"/>
      <c r="Z5" s="257" t="n"/>
    </row>
    <row r="6">
      <c r="A6" s="258" t="inlineStr">
        <is>
          <t>Raspberry Pi 3B</t>
        </is>
      </c>
      <c r="B6" s="258" t="inlineStr">
        <is>
          <t>2</t>
        </is>
      </c>
      <c r="C6" s="258" t="inlineStr">
        <is>
          <t>Gateways with LoRa module and preferred Ethernet/WiFi internet uplink</t>
        </is>
      </c>
      <c r="D6" s="258" t="inlineStr">
        <is>
          <t>Pi 3B with stable 5V supply, LoRa SPI wiring, Ethernet/WiFi internet connectivity, and Tailscale</t>
        </is>
      </c>
      <c r="E6" s="258" t="inlineStr">
        <is>
          <t>Confirm</t>
        </is>
      </c>
      <c r="F6" s="258" t="inlineStr">
        <is>
          <t>High</t>
        </is>
      </c>
      <c r="G6" s="258" t="inlineStr">
        <is>
          <t>SPI wiring, CPU limits</t>
        </is>
      </c>
      <c r="H6" s="258" t="inlineStr">
        <is>
          <t>Gateway receives LoRa and reaches peer over Tailscale VPN; LoRa backup backhaul planned</t>
        </is>
      </c>
      <c r="I6" s="258" t="inlineStr">
        <is>
          <t>Planned</t>
        </is>
      </c>
      <c r="J6" s="258" t="inlineStr">
        <is>
          <t>Primary gateway backhaul is internet/Tailscale; LoRa-to-LoRa gateway backhaul is backup.</t>
        </is>
      </c>
      <c r="K6" s="257" t="n"/>
      <c r="L6" s="257" t="n"/>
      <c r="M6" s="257" t="n"/>
      <c r="N6" s="257" t="n"/>
      <c r="O6" s="257" t="n"/>
      <c r="P6" s="257" t="n"/>
      <c r="Q6" s="257" t="n"/>
      <c r="R6" s="257" t="n"/>
      <c r="S6" s="257" t="n"/>
      <c r="T6" s="257" t="n"/>
      <c r="U6" s="257" t="n"/>
      <c r="V6" s="257" t="n"/>
      <c r="W6" s="257" t="n"/>
      <c r="X6" s="257" t="n"/>
      <c r="Y6" s="257" t="n"/>
      <c r="Z6" s="257" t="n"/>
    </row>
    <row r="7">
      <c r="A7" s="258" t="inlineStr">
        <is>
          <t>WiFi Router 2.4 GHz</t>
        </is>
      </c>
      <c r="B7" s="258" t="inlineStr">
        <is>
          <t>2</t>
        </is>
      </c>
      <c r="C7" s="258" t="inlineStr">
        <is>
          <t>Local internet access / router / AP only</t>
        </is>
      </c>
      <c r="D7" s="258" t="inlineStr">
        <is>
          <t>Any router/AP that provides LAN/WiFi internet to the Raspberry Pi gateway</t>
        </is>
      </c>
      <c r="E7" s="258" t="inlineStr">
        <is>
          <t>Yes</t>
        </is>
      </c>
      <c r="F7" s="258" t="inlineStr">
        <is>
          <t>High</t>
        </is>
      </c>
      <c r="G7" s="258" t="inlineStr">
        <is>
          <t>Internet outage; local AP/client mode issues</t>
        </is>
      </c>
      <c r="H7" s="258" t="inlineStr">
        <is>
          <t>RPi can reach internet and Tailscale peer</t>
        </is>
      </c>
      <c r="I7" s="258" t="inlineStr">
        <is>
          <t>Design updated</t>
        </is>
      </c>
      <c r="J7" s="258" t="inlineStr">
        <is>
          <t>Local internet/AP only. Not the inter-network backhaul.</t>
        </is>
      </c>
      <c r="K7" s="257" t="n"/>
      <c r="L7" s="257" t="n"/>
      <c r="M7" s="257" t="n"/>
      <c r="N7" s="257" t="n"/>
      <c r="O7" s="257" t="n"/>
      <c r="P7" s="257" t="n"/>
      <c r="Q7" s="257" t="n"/>
      <c r="R7" s="257" t="n"/>
      <c r="S7" s="257" t="n"/>
      <c r="T7" s="257" t="n"/>
      <c r="U7" s="257" t="n"/>
      <c r="V7" s="257" t="n"/>
      <c r="W7" s="257" t="n"/>
      <c r="X7" s="257" t="n"/>
      <c r="Y7" s="257" t="n"/>
      <c r="Z7" s="257" t="n"/>
    </row>
    <row r="8">
      <c r="A8" s="258" t="inlineStr">
        <is>
          <t>Android Phone</t>
        </is>
      </c>
      <c r="B8" s="258" t="inlineStr">
        <is>
          <t>1+</t>
        </is>
      </c>
      <c r="C8" s="258" t="inlineStr">
        <is>
          <t>Chat app testing</t>
        </is>
      </c>
      <c r="D8" s="258" t="inlineStr">
        <is>
          <t>Android 8+ recommended</t>
        </is>
      </c>
      <c r="E8" s="258" t="inlineStr">
        <is>
          <t>Confirm</t>
        </is>
      </c>
      <c r="F8" s="258" t="inlineStr">
        <is>
          <t>Medium</t>
        </is>
      </c>
      <c r="G8" s="258" t="inlineStr">
        <is>
          <t>Network permissions/background limits</t>
        </is>
      </c>
      <c r="H8" s="258" t="inlineStr">
        <is>
          <t>Install APK, connect to gateway</t>
        </is>
      </c>
      <c r="I8" s="258" t="inlineStr">
        <is>
          <t>Future</t>
        </is>
      </c>
      <c r="J8" s="258" t="inlineStr">
        <is>
          <t>Start web dashboard first.</t>
        </is>
      </c>
      <c r="K8" s="257" t="n"/>
      <c r="L8" s="257" t="n"/>
      <c r="M8" s="257" t="n"/>
      <c r="N8" s="257" t="n"/>
      <c r="O8" s="257" t="n"/>
      <c r="P8" s="257" t="n"/>
      <c r="Q8" s="257" t="n"/>
      <c r="R8" s="257" t="n"/>
      <c r="S8" s="257" t="n"/>
      <c r="T8" s="257" t="n"/>
      <c r="U8" s="257" t="n"/>
      <c r="V8" s="257" t="n"/>
      <c r="W8" s="257" t="n"/>
      <c r="X8" s="257" t="n"/>
      <c r="Y8" s="257" t="n"/>
      <c r="Z8" s="257" t="n"/>
    </row>
    <row r="9">
      <c r="A9" s="49" t="inlineStr">
        <is>
          <t>Tailscale VPN</t>
        </is>
      </c>
      <c r="B9" s="49" t="inlineStr">
        <is>
          <t>2 gateway peers</t>
        </is>
      </c>
      <c r="C9" s="49" t="inlineStr">
        <is>
          <t>Primary encrypted gateway tunnel</t>
        </is>
      </c>
      <c r="D9" s="49" t="inlineStr">
        <is>
          <t>Tailscale installed/authenticated on both RPi3B gateways; peer IPs configured</t>
        </is>
      </c>
      <c r="E9" s="49" t="inlineStr">
        <is>
          <t>Confirmed for STEP040B</t>
        </is>
      </c>
      <c r="F9" s="49" t="inlineStr">
        <is>
          <t>High</t>
        </is>
      </c>
      <c r="G9" s="49" t="inlineStr">
        <is>
          <t>Peer auth, firewall, subnet/routing mismatch</t>
        </is>
      </c>
      <c r="H9" s="49" t="inlineStr">
        <is>
          <t>Gateway A can ping/connect to Gateway B Tailscale IP and exchange TCP relay JSON messages with ACK/heartbeat</t>
        </is>
      </c>
      <c r="I9" s="49" t="inlineStr">
        <is>
          <t>PASS - STEP040B Tailscale TCP relay validated</t>
        </is>
      </c>
      <c r="J9" s="49" t="inlineStr">
        <is>
          <t>pup-gateway-a=100.123.79.41; pup-gateway-b=100.79.214.18; TCP relay port 5050. Primary inter-gateway backhaul operational; STEP041 serial bridge pending.</t>
        </is>
      </c>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8" customWidth="1" style="51" min="2" max="2"/>
    <col width="24" customWidth="1" style="51" min="3" max="3"/>
    <col width="34" customWidth="1" style="51" min="4" max="4"/>
    <col width="14" customWidth="1" style="51" min="5" max="5"/>
    <col width="24" customWidth="1" style="51" min="6" max="6"/>
    <col width="14" customWidth="1" style="51" min="7" max="7"/>
    <col width="42" customWidth="1" style="51" min="8" max="8"/>
  </cols>
  <sheetData>
    <row r="1">
      <c r="A1" s="259" t="inlineStr">
        <is>
          <t>Configuration Tracker</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2" t="inlineStr">
        <is>
          <t>Parameter</t>
        </is>
      </c>
      <c r="B3" s="42" t="inlineStr">
        <is>
          <t>Default / Starting Value</t>
        </is>
      </c>
      <c r="C3" s="42" t="inlineStr">
        <is>
          <t>Where Used</t>
        </is>
      </c>
      <c r="D3" s="42" t="inlineStr">
        <is>
          <t>Reason</t>
        </is>
      </c>
      <c r="E3" s="42" t="inlineStr">
        <is>
          <t>Can Change?</t>
        </is>
      </c>
      <c r="F3" s="42" t="inlineStr">
        <is>
          <t>Updated Value</t>
        </is>
      </c>
      <c r="G3" s="42" t="inlineStr">
        <is>
          <t>Date Updated</t>
        </is>
      </c>
      <c r="H3" s="42" t="inlineStr">
        <is>
          <t>Notes</t>
        </is>
      </c>
      <c r="I3" s="258" t="n"/>
      <c r="J3" s="258" t="n"/>
      <c r="K3" s="258" t="n"/>
      <c r="L3" s="257" t="n"/>
      <c r="M3" s="257" t="n"/>
      <c r="N3" s="257" t="n"/>
      <c r="O3" s="257" t="n"/>
      <c r="P3" s="257" t="n"/>
      <c r="Q3" s="257" t="n"/>
      <c r="R3" s="257" t="n"/>
      <c r="S3" s="257" t="n"/>
      <c r="T3" s="257" t="n"/>
      <c r="U3" s="257" t="n"/>
      <c r="V3" s="257" t="n"/>
      <c r="W3" s="257" t="n"/>
      <c r="X3" s="257" t="n"/>
      <c r="Y3" s="257" t="n"/>
      <c r="Z3" s="257" t="n"/>
    </row>
    <row r="4">
      <c r="A4" s="258" t="inlineStr">
        <is>
          <t>LoRa Frequency</t>
        </is>
      </c>
      <c r="B4" s="258" t="inlineStr">
        <is>
          <t>433 MHz / PH_433-compatible prototype setting</t>
        </is>
      </c>
      <c r="C4" s="258" t="inlineStr">
        <is>
          <t>ESP32 + Pi LoRa</t>
        </is>
      </c>
      <c r="D4" s="258" t="inlineStr">
        <is>
          <t>Available SX1278 Ra-02 hardware</t>
        </is>
      </c>
      <c r="E4" s="258" t="inlineStr">
        <is>
          <t>Yes</t>
        </is>
      </c>
      <c r="F4" s="258" t="str"/>
      <c r="G4" s="258" t="str"/>
      <c r="H4" s="258" t="inlineStr">
        <is>
          <t>Verify compliance for non-lab use.</t>
        </is>
      </c>
      <c r="I4" s="258" t="n"/>
      <c r="J4" s="258" t="n"/>
      <c r="K4" s="258" t="n"/>
      <c r="L4" s="257" t="n"/>
      <c r="M4" s="257" t="n"/>
      <c r="N4" s="257" t="n"/>
      <c r="O4" s="257" t="n"/>
      <c r="P4" s="257" t="n"/>
      <c r="Q4" s="257" t="n"/>
      <c r="R4" s="257" t="n"/>
      <c r="S4" s="257" t="n"/>
      <c r="T4" s="257" t="n"/>
      <c r="U4" s="257" t="n"/>
      <c r="V4" s="257" t="n"/>
      <c r="W4" s="257" t="n"/>
      <c r="X4" s="257" t="n"/>
      <c r="Y4" s="257" t="n"/>
      <c r="Z4" s="257" t="n"/>
    </row>
    <row r="5">
      <c r="A5" s="258" t="inlineStr">
        <is>
          <t>LoRa TX Power</t>
        </is>
      </c>
      <c r="B5" s="258" t="inlineStr">
        <is>
          <t>Start low; do not maximize during lab tests</t>
        </is>
      </c>
      <c r="C5" s="258" t="inlineStr">
        <is>
          <t>ESP32 + Pi LoRa</t>
        </is>
      </c>
      <c r="D5" s="258" t="inlineStr">
        <is>
          <t>Reduce interference and stay conservative</t>
        </is>
      </c>
      <c r="E5" s="258" t="inlineStr">
        <is>
          <t>Yes</t>
        </is>
      </c>
      <c r="F5" s="258" t="str"/>
      <c r="G5" s="258" t="str"/>
      <c r="H5" s="258" t="inlineStr">
        <is>
          <t>Document exact dBm after firmware phase.</t>
        </is>
      </c>
      <c r="I5" s="258" t="n"/>
      <c r="J5" s="258" t="n"/>
      <c r="K5" s="258" t="n"/>
      <c r="L5" s="257" t="n"/>
      <c r="M5" s="257" t="n"/>
      <c r="N5" s="257" t="n"/>
      <c r="O5" s="257" t="n"/>
      <c r="P5" s="257" t="n"/>
      <c r="Q5" s="257" t="n"/>
      <c r="R5" s="257" t="n"/>
      <c r="S5" s="257" t="n"/>
      <c r="T5" s="257" t="n"/>
      <c r="U5" s="257" t="n"/>
      <c r="V5" s="257" t="n"/>
      <c r="W5" s="257" t="n"/>
      <c r="X5" s="257" t="n"/>
      <c r="Y5" s="257" t="n"/>
      <c r="Z5" s="257" t="n"/>
    </row>
    <row r="6">
      <c r="A6" s="258" t="inlineStr">
        <is>
          <t>RSSI Degradation Threshold</t>
        </is>
      </c>
      <c r="B6" s="258" t="inlineStr">
        <is>
          <t>-78 dBm</t>
        </is>
      </c>
      <c r="C6" s="258" t="inlineStr">
        <is>
          <t>Routing/failover</t>
        </is>
      </c>
      <c r="D6" s="258" t="inlineStr">
        <is>
          <t>From project document; conservative quality threshold</t>
        </is>
      </c>
      <c r="E6" s="258" t="inlineStr">
        <is>
          <t>Yes</t>
        </is>
      </c>
      <c r="F6" s="258" t="str"/>
      <c r="G6" s="258" t="str"/>
      <c r="H6" s="258" t="inlineStr">
        <is>
          <t>Not hard LoRa failure threshold.</t>
        </is>
      </c>
      <c r="I6" s="258" t="n"/>
      <c r="J6" s="258" t="n"/>
      <c r="K6" s="258" t="n"/>
      <c r="L6" s="257" t="n"/>
      <c r="M6" s="257" t="n"/>
      <c r="N6" s="257" t="n"/>
      <c r="O6" s="257" t="n"/>
      <c r="P6" s="257" t="n"/>
      <c r="Q6" s="257" t="n"/>
      <c r="R6" s="257" t="n"/>
      <c r="S6" s="257" t="n"/>
      <c r="T6" s="257" t="n"/>
      <c r="U6" s="257" t="n"/>
      <c r="V6" s="257" t="n"/>
      <c r="W6" s="257" t="n"/>
      <c r="X6" s="257" t="n"/>
      <c r="Y6" s="257" t="n"/>
      <c r="Z6" s="257" t="n"/>
    </row>
    <row r="7">
      <c r="A7" s="258" t="inlineStr">
        <is>
          <t>RSSI Critical Threshold</t>
        </is>
      </c>
      <c r="B7" s="258" t="inlineStr">
        <is>
          <t>-95 dBm</t>
        </is>
      </c>
      <c r="C7" s="258" t="inlineStr">
        <is>
          <t>Routing/failover</t>
        </is>
      </c>
      <c r="D7" s="258" t="inlineStr">
        <is>
          <t>More realistic LoRa degradation marker</t>
        </is>
      </c>
      <c r="E7" s="258" t="inlineStr">
        <is>
          <t>Yes</t>
        </is>
      </c>
      <c r="F7" s="258" t="str"/>
      <c r="G7" s="258" t="str"/>
      <c r="H7" s="258" t="inlineStr">
        <is>
          <t>Tune after field tests.</t>
        </is>
      </c>
      <c r="I7" s="258" t="n"/>
      <c r="J7" s="258" t="n"/>
      <c r="K7" s="258" t="n"/>
      <c r="L7" s="257" t="n"/>
      <c r="M7" s="257" t="n"/>
      <c r="N7" s="257" t="n"/>
      <c r="O7" s="257" t="n"/>
      <c r="P7" s="257" t="n"/>
      <c r="Q7" s="257" t="n"/>
      <c r="R7" s="257" t="n"/>
      <c r="S7" s="257" t="n"/>
      <c r="T7" s="257" t="n"/>
      <c r="U7" s="257" t="n"/>
      <c r="V7" s="257" t="n"/>
      <c r="W7" s="257" t="n"/>
      <c r="X7" s="257" t="n"/>
      <c r="Y7" s="257" t="n"/>
      <c r="Z7" s="257" t="n"/>
    </row>
    <row r="8">
      <c r="A8" s="258" t="inlineStr">
        <is>
          <t>Failover Delay</t>
        </is>
      </c>
      <c r="B8" s="258" t="inlineStr">
        <is>
          <t>10 seconds</t>
        </is>
      </c>
      <c r="C8" s="258" t="inlineStr">
        <is>
          <t>Gateway logic</t>
        </is>
      </c>
      <c r="D8" s="258" t="inlineStr">
        <is>
          <t>From project document</t>
        </is>
      </c>
      <c r="E8" s="258" t="inlineStr">
        <is>
          <t>Yes</t>
        </is>
      </c>
      <c r="F8" s="258" t="str"/>
      <c r="G8" s="258" t="str"/>
      <c r="H8" s="258" t="inlineStr">
        <is>
          <t>Trigger after stable failure condition.</t>
        </is>
      </c>
      <c r="I8" s="258" t="n"/>
      <c r="J8" s="258" t="n"/>
      <c r="K8" s="258" t="n"/>
      <c r="L8" s="257" t="n"/>
      <c r="M8" s="257" t="n"/>
      <c r="N8" s="257" t="n"/>
      <c r="O8" s="257" t="n"/>
      <c r="P8" s="257" t="n"/>
      <c r="Q8" s="257" t="n"/>
      <c r="R8" s="257" t="n"/>
      <c r="S8" s="257" t="n"/>
      <c r="T8" s="257" t="n"/>
      <c r="U8" s="257" t="n"/>
      <c r="V8" s="257" t="n"/>
      <c r="W8" s="257" t="n"/>
      <c r="X8" s="257" t="n"/>
      <c r="Y8" s="257" t="n"/>
      <c r="Z8" s="257" t="n"/>
    </row>
    <row r="9">
      <c r="A9" s="258" t="inlineStr">
        <is>
          <t>Recovery Stable Time</t>
        </is>
      </c>
      <c r="B9" s="258" t="inlineStr">
        <is>
          <t>10 seconds</t>
        </is>
      </c>
      <c r="C9" s="258" t="inlineStr">
        <is>
          <t>Gateway logic</t>
        </is>
      </c>
      <c r="D9" s="258" t="inlineStr">
        <is>
          <t>Avoid flapping</t>
        </is>
      </c>
      <c r="E9" s="258" t="inlineStr">
        <is>
          <t>Yes</t>
        </is>
      </c>
      <c r="F9" s="258" t="str"/>
      <c r="G9" s="258" t="str"/>
      <c r="H9" s="258" t="inlineStr">
        <is>
          <t>Revert only after stable link.</t>
        </is>
      </c>
      <c r="I9" s="258" t="n"/>
      <c r="J9" s="258" t="n"/>
      <c r="K9" s="258" t="n"/>
      <c r="L9" s="257" t="n"/>
      <c r="M9" s="257" t="n"/>
      <c r="N9" s="257" t="n"/>
      <c r="O9" s="257" t="n"/>
      <c r="P9" s="257" t="n"/>
      <c r="Q9" s="257" t="n"/>
      <c r="R9" s="257" t="n"/>
      <c r="S9" s="257" t="n"/>
      <c r="T9" s="257" t="n"/>
      <c r="U9" s="257" t="n"/>
      <c r="V9" s="257" t="n"/>
      <c r="W9" s="257" t="n"/>
      <c r="X9" s="257" t="n"/>
      <c r="Y9" s="257" t="n"/>
      <c r="Z9" s="257" t="n"/>
    </row>
    <row r="10">
      <c r="A10" s="258" t="inlineStr">
        <is>
          <t>Tailscale Peer IPs</t>
        </is>
      </c>
      <c r="B10" s="258" t="inlineStr">
        <is>
          <t>TBD: Gateway A and Gateway B Tailscale IPs</t>
        </is>
      </c>
      <c r="C10" s="258" t="inlineStr">
        <is>
          <t>Primary gateway backhaul config</t>
        </is>
      </c>
      <c r="D10" s="258" t="inlineStr">
        <is>
          <t>Required for STEP039 architecture</t>
        </is>
      </c>
      <c r="E10" s="258" t="inlineStr">
        <is>
          <t>No</t>
        </is>
      </c>
      <c r="F10" s="258" t="inlineStr">
        <is>
          <t>pup-gateway-a=100.123.79.41; pup-gateway-b=100.79.214.18; TCP relay port=5050</t>
        </is>
      </c>
      <c r="G10" s="258" t="inlineStr">
        <is>
          <t>2026-05-24</t>
        </is>
      </c>
      <c r="H10" s="258" t="inlineStr">
        <is>
          <t>STEP040B validation confirmed Tailscale ping PASS and TCP relay PASS with ACK and heartbeat.</t>
        </is>
      </c>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inlineStr">
        <is>
          <t>Max Hop Count</t>
        </is>
      </c>
      <c r="B11" s="258" t="inlineStr">
        <is>
          <t>3</t>
        </is>
      </c>
      <c r="C11" s="258" t="inlineStr">
        <is>
          <t>ESP32 mesh</t>
        </is>
      </c>
      <c r="D11" s="258" t="inlineStr">
        <is>
          <t>Small six-node prototype</t>
        </is>
      </c>
      <c r="E11" s="258" t="inlineStr">
        <is>
          <t>Yes</t>
        </is>
      </c>
      <c r="F11" s="258" t="str"/>
      <c r="G11" s="258" t="str"/>
      <c r="H11" s="258" t="inlineStr">
        <is>
          <t>Increase only after testing.</t>
        </is>
      </c>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inlineStr">
        <is>
          <t>ACK Retry Count</t>
        </is>
      </c>
      <c r="B12" s="258" t="inlineStr">
        <is>
          <t>3</t>
        </is>
      </c>
      <c r="C12" s="258" t="inlineStr">
        <is>
          <t>Messaging protocol</t>
        </is>
      </c>
      <c r="D12" s="258" t="inlineStr">
        <is>
          <t>Reliability vs airtime balance</t>
        </is>
      </c>
      <c r="E12" s="258" t="inlineStr">
        <is>
          <t>Yes</t>
        </is>
      </c>
      <c r="F12" s="258" t="str"/>
      <c r="G12" s="258" t="str"/>
      <c r="H12" s="258" t="inlineStr">
        <is>
          <t>Tune after PDR tests.</t>
        </is>
      </c>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inlineStr">
        <is>
          <t>Destination Not Local Rule</t>
        </is>
      </c>
      <c r="B13" s="258" t="inlineStr">
        <is>
          <t>Route to remote gateway through Tailscale VPN</t>
        </is>
      </c>
      <c r="C13" s="258" t="inlineStr">
        <is>
          <t>Gateway logic</t>
        </is>
      </c>
      <c r="D13" s="258" t="inlineStr">
        <is>
          <t>User requirement</t>
        </is>
      </c>
      <c r="E13" s="258" t="inlineStr">
        <is>
          <t>No</t>
        </is>
      </c>
      <c r="F13" s="258" t="str"/>
      <c r="G13" s="258" t="str"/>
      <c r="H13" s="258" t="inlineStr">
        <is>
          <t>If destination unknown locally, forward to configured remote RPi3B gateway Tailscale peer.</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49" t="inlineStr">
        <is>
          <t>Route Priority Order</t>
        </is>
      </c>
      <c r="B14" s="49" t="inlineStr">
        <is>
          <t>1 Local LoRa MANET; 2 Tailscale VPN gateway tunnel; 3 long-range LoRa gateway backup; 4 GSM/cellular optional fallback</t>
        </is>
      </c>
      <c r="C14" s="49" t="inlineStr">
        <is>
          <t>Routing policy</t>
        </is>
      </c>
      <c r="D14" s="49" t="inlineStr">
        <is>
          <t>STEP039 finalized</t>
        </is>
      </c>
      <c r="E14" s="49" t="inlineStr">
        <is>
          <t>Yes</t>
        </is>
      </c>
      <c r="F14" s="49" t="n"/>
      <c r="G14" s="49" t="n"/>
      <c r="H14" s="49" t="inlineStr">
        <is>
          <t>Preserve local LoRa first; internet/Tailscale is primary gateway backhaul.</t>
        </is>
      </c>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62" t="inlineStr">
        <is>
          <t>Codex/GitHub Configuration Tracker</t>
        </is>
      </c>
      <c r="B15" s="1" t="n"/>
      <c r="C15" s="1" t="n"/>
      <c r="D15" s="1" t="n"/>
      <c r="E15" s="1" t="n"/>
      <c r="F15" s="1" t="n"/>
      <c r="G15" s="1" t="n"/>
      <c r="H15" s="1"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49" t="inlineStr">
        <is>
          <t>Firmware Mode Plan</t>
        </is>
      </c>
      <c r="B16" s="49" t="inlineStr">
        <is>
          <t>NODE mode and GATEWAY mode</t>
        </is>
      </c>
      <c r="C16" s="49" t="inlineStr">
        <is>
          <t>ESP32 firmware roadmap</t>
        </is>
      </c>
      <c r="D16" s="49" t="inlineStr">
        <is>
          <t>Future enhancement</t>
        </is>
      </c>
      <c r="E16" s="49" t="inlineStr">
        <is>
          <t>No</t>
        </is>
      </c>
      <c r="F16" s="49" t="n"/>
      <c r="G16" s="49" t="n"/>
      <c r="H16" s="49" t="inlineStr">
        <is>
          <t>STEP038 is stable baseline firmware, not final gateway firmware.</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inlineStr">
        <is>
          <t>GitHub Repository</t>
        </is>
      </c>
      <c r="B17" s="258" t="inlineStr">
        <is>
          <t>pup-manet-emergency-messaging</t>
        </is>
      </c>
      <c r="C17" s="258" t="str"/>
      <c r="D17" s="258" t="inlineStr">
        <is>
          <t>GitHub</t>
        </is>
      </c>
      <c r="E17" s="258" t="inlineStr">
        <is>
          <t>User</t>
        </is>
      </c>
      <c r="F17" s="258" t="inlineStr">
        <is>
          <t>Not Started</t>
        </is>
      </c>
      <c r="G17" s="258" t="inlineStr">
        <is>
          <t>Repo URL</t>
        </is>
      </c>
      <c r="H17" s="258" t="str"/>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inlineStr">
        <is>
          <t>Local Repo Path</t>
        </is>
      </c>
      <c r="B18" s="258" t="inlineStr">
        <is>
          <t>MacBook Pro local project folder</t>
        </is>
      </c>
      <c r="C18" s="258" t="str"/>
      <c r="D18" s="258" t="inlineStr">
        <is>
          <t>Mac Finder/Terminal</t>
        </is>
      </c>
      <c r="E18" s="258" t="inlineStr">
        <is>
          <t>User</t>
        </is>
      </c>
      <c r="F18" s="258" t="inlineStr">
        <is>
          <t>Not Started</t>
        </is>
      </c>
      <c r="G18" s="258" t="inlineStr">
        <is>
          <t>pwd output</t>
        </is>
      </c>
      <c r="H18" s="258" t="str"/>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inlineStr">
        <is>
          <t>Codex Local Tool</t>
        </is>
      </c>
      <c r="B19" s="258" t="inlineStr">
        <is>
          <t>Installed on MacBook Pro M1 Max</t>
        </is>
      </c>
      <c r="C19" s="258" t="inlineStr">
        <is>
          <t>Installed</t>
        </is>
      </c>
      <c r="D19" s="258" t="inlineStr">
        <is>
          <t>Mac terminal</t>
        </is>
      </c>
      <c r="E19" s="258" t="inlineStr">
        <is>
          <t>User</t>
        </is>
      </c>
      <c r="F19" s="258" t="inlineStr">
        <is>
          <t>Available</t>
        </is>
      </c>
      <c r="G19" s="258" t="inlineStr">
        <is>
          <t>codex --version output</t>
        </is>
      </c>
      <c r="H19" s="258" t="inlineStr">
        <is>
          <t>User confirmed installed.</t>
        </is>
      </c>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inlineStr">
        <is>
          <t>Codex Cloud/GitHub</t>
        </is>
      </c>
      <c r="B20" s="258" t="inlineStr">
        <is>
          <t>Connect repo to Codex when ready</t>
        </is>
      </c>
      <c r="C20" s="258" t="str"/>
      <c r="D20" s="258" t="inlineStr">
        <is>
          <t>Codex settings</t>
        </is>
      </c>
      <c r="E20" s="258" t="inlineStr">
        <is>
          <t>User</t>
        </is>
      </c>
      <c r="F20" s="258" t="inlineStr">
        <is>
          <t>Not Started</t>
        </is>
      </c>
      <c r="G20" s="258" t="inlineStr">
        <is>
          <t>Codex environment screenshot/link</t>
        </is>
      </c>
      <c r="H20" s="258" t="str"/>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inlineStr">
        <is>
          <t>AGENTS.md</t>
        </is>
      </c>
      <c r="B21" s="258" t="inlineStr">
        <is>
          <t>Root-level project instructions file</t>
        </is>
      </c>
      <c r="C21" s="258" t="str"/>
      <c r="D21" s="258" t="inlineStr">
        <is>
          <t>Repo root</t>
        </is>
      </c>
      <c r="E21" s="258" t="inlineStr">
        <is>
          <t>Codex/User</t>
        </is>
      </c>
      <c r="F21" s="258" t="inlineStr">
        <is>
          <t>Not Started</t>
        </is>
      </c>
      <c r="G21" s="258" t="inlineStr">
        <is>
          <t>Commit hash</t>
        </is>
      </c>
      <c r="H21" s="258" t="str"/>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inlineStr">
        <is>
          <t>Default Branch</t>
        </is>
      </c>
      <c r="B22" s="258" t="inlineStr">
        <is>
          <t>main</t>
        </is>
      </c>
      <c r="C22" s="258" t="str"/>
      <c r="D22" s="258" t="inlineStr">
        <is>
          <t>GitHub</t>
        </is>
      </c>
      <c r="E22" s="258" t="inlineStr">
        <is>
          <t>User</t>
        </is>
      </c>
      <c r="F22" s="258" t="inlineStr">
        <is>
          <t>Not Started</t>
        </is>
      </c>
      <c r="G22" s="258" t="inlineStr">
        <is>
          <t>GitHub screenshot</t>
        </is>
      </c>
      <c r="H22" s="258" t="str"/>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inlineStr">
        <is>
          <t>Workbook Location</t>
        </is>
      </c>
      <c r="B23" s="258" t="inlineStr">
        <is>
          <t>docs/workbook/PUP_MANET_Implementation_Workbook.xlsx</t>
        </is>
      </c>
      <c r="C23" s="258" t="str"/>
      <c r="D23" s="258" t="inlineStr">
        <is>
          <t>GitHub repo</t>
        </is>
      </c>
      <c r="E23" s="258" t="inlineStr">
        <is>
          <t>User</t>
        </is>
      </c>
      <c r="F23" s="258" t="inlineStr">
        <is>
          <t>Not Started</t>
        </is>
      </c>
      <c r="G23" s="258" t="inlineStr">
        <is>
          <t>Commit hash</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inlineStr">
        <is>
          <t>Diagrams Location</t>
        </is>
      </c>
      <c r="B24" s="258" t="inlineStr">
        <is>
          <t>docs/diagrams/</t>
        </is>
      </c>
      <c r="C24" s="258" t="str"/>
      <c r="D24" s="258" t="inlineStr">
        <is>
          <t>GitHub repo</t>
        </is>
      </c>
      <c r="E24" s="258" t="inlineStr">
        <is>
          <t>User</t>
        </is>
      </c>
      <c r="F24" s="258" t="inlineStr">
        <is>
          <t>Not Started</t>
        </is>
      </c>
      <c r="G24" s="258" t="inlineStr">
        <is>
          <t>Commit hash</t>
        </is>
      </c>
      <c r="H24" s="258" t="str"/>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inlineStr">
        <is>
          <t>Default Node IDs</t>
        </is>
      </c>
      <c r="B25" s="258" t="inlineStr">
        <is>
          <t>nodeA1, nodeA2, nodeA3, nodeB1, nodeB2, nodeB3</t>
        </is>
      </c>
      <c r="C25" s="258" t="inlineStr">
        <is>
          <t>Node identity</t>
        </is>
      </c>
      <c r="D25" s="258" t="inlineStr">
        <is>
          <t>Clarified requirement 2026-06-02</t>
        </is>
      </c>
      <c r="E25" s="258" t="inlineStr">
        <is>
          <t>No</t>
        </is>
      </c>
      <c r="F25" s="258" t="inlineStr"/>
      <c r="G25" s="258" t="inlineStr">
        <is>
          <t>2026-06-02</t>
        </is>
      </c>
      <c r="H25" s="258" t="inlineStr">
        <is>
          <t>Fixed IDs for 6-node topology.</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HELLO Interval</t>
        </is>
      </c>
      <c r="B26" s="258" t="inlineStr">
        <is>
          <t>10 seconds</t>
        </is>
      </c>
      <c r="C26" s="258" t="inlineStr">
        <is>
          <t>Presence protocol</t>
        </is>
      </c>
      <c r="D26" s="258" t="inlineStr">
        <is>
          <t>Clarified requirement 2026-06-02</t>
        </is>
      </c>
      <c r="E26" s="258" t="inlineStr">
        <is>
          <t>No</t>
        </is>
      </c>
      <c r="F26" s="258" t="inlineStr"/>
      <c r="G26" s="258" t="inlineStr">
        <is>
          <t>2026-06-02</t>
        </is>
      </c>
      <c r="H26" s="258" t="inlineStr">
        <is>
          <t>Periodic neighbor discovery broadcast interval.</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inlineStr">
        <is>
          <t>Offline Timeout</t>
        </is>
      </c>
      <c r="B27" s="258" t="inlineStr">
        <is>
          <t>30 seconds</t>
        </is>
      </c>
      <c r="C27" s="258" t="inlineStr">
        <is>
          <t>Presence protocol</t>
        </is>
      </c>
      <c r="D27" s="258" t="inlineStr">
        <is>
          <t>Clarified requirement 2026-06-02</t>
        </is>
      </c>
      <c r="E27" s="258" t="inlineStr">
        <is>
          <t>No</t>
        </is>
      </c>
      <c r="F27" s="258" t="inlineStr"/>
      <c r="G27" s="258" t="inlineStr">
        <is>
          <t>2026-06-02</t>
        </is>
      </c>
      <c r="H27" s="258" t="inlineStr">
        <is>
          <t>Time without HELLO before marking node offline.</t>
        </is>
      </c>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inlineStr">
        <is>
          <t>Max Android Phones Per Node</t>
        </is>
      </c>
      <c r="B28" s="258" t="inlineStr">
        <is>
          <t>1</t>
        </is>
      </c>
      <c r="C28" s="258" t="inlineStr">
        <is>
          <t>Android pairing policy</t>
        </is>
      </c>
      <c r="D28" s="258" t="inlineStr">
        <is>
          <t>Clarified requirement 2026-06-02</t>
        </is>
      </c>
      <c r="E28" s="258" t="inlineStr">
        <is>
          <t>No</t>
        </is>
      </c>
      <c r="F28" s="258" t="inlineStr"/>
      <c r="G28" s="258" t="inlineStr">
        <is>
          <t>2026-06-02</t>
        </is>
      </c>
      <c r="H28" s="258" t="inlineStr">
        <is>
          <t>One Android phone maximum per node.</t>
        </is>
      </c>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2">
    <mergeCell ref="A1:H1"/>
    <mergeCell ref="A15:H15"/>
  </mergeCells>
  <dataValidations count="1">
    <dataValidation sqref="F17:F2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8" customWidth="1" style="51" min="1" max="1"/>
    <col width="50" customWidth="1" style="51" min="2" max="2"/>
    <col width="32" customWidth="1" style="51" min="3" max="3"/>
    <col width="14" customWidth="1" style="51" min="4" max="4"/>
    <col width="12" customWidth="1" style="51" min="5" max="5"/>
    <col width="35" customWidth="1" style="51" min="6" max="6"/>
    <col width="32" customWidth="1" style="51" min="7" max="7"/>
    <col width="32" customWidth="1" style="51" min="8" max="8"/>
  </cols>
  <sheetData>
    <row r="1">
      <c r="A1" s="44" t="inlineStr">
        <is>
          <t>Proposed Packet Protocol</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Packet Type</t>
        </is>
      </c>
      <c r="B3" s="42" t="inlineStr">
        <is>
          <t>Required Fields</t>
        </is>
      </c>
      <c r="C3" s="42" t="inlineStr">
        <is>
          <t>Purpose</t>
        </is>
      </c>
      <c r="D3" s="42" t="inlineStr">
        <is>
          <t>ACK Required?</t>
        </is>
      </c>
      <c r="E3" s="42" t="inlineStr">
        <is>
          <t>Stored?</t>
        </is>
      </c>
      <c r="F3" s="42" t="inlineStr">
        <is>
          <t>Example</t>
        </is>
      </c>
      <c r="G3" s="42" t="inlineStr">
        <is>
          <t>ESP32 Role</t>
        </is>
      </c>
      <c r="H3" s="42" t="inlineStr">
        <is>
          <t>Gateway Role</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HELLO</t>
        </is>
      </c>
      <c r="B4" s="258" t="inlineStr">
        <is>
          <t>type,node_id,network_id,battery,rssi_last,snr_last,uptime</t>
        </is>
      </c>
      <c r="C4" s="258" t="inlineStr">
        <is>
          <t>Neighbor discovery and health</t>
        </is>
      </c>
      <c r="D4" s="258" t="inlineStr">
        <is>
          <t>No</t>
        </is>
      </c>
      <c r="E4" s="258" t="inlineStr">
        <is>
          <t>Latest only</t>
        </is>
      </c>
      <c r="F4" s="258" t="inlineStr">
        <is>
          <t>HELLO A1 NET_A batt=82</t>
        </is>
      </c>
      <c r="G4" s="258" t="inlineStr">
        <is>
          <t>Broadcast periodically</t>
        </is>
      </c>
      <c r="H4" s="258" t="inlineStr">
        <is>
          <t>Update node table</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MSG</t>
        </is>
      </c>
      <c r="B5" s="258" t="inlineStr">
        <is>
          <t>type,msg_id,src,dst,network_id,payload,ttl,path,timestamp</t>
        </is>
      </c>
      <c r="C5" s="258" t="inlineStr">
        <is>
          <t>User text message</t>
        </is>
      </c>
      <c r="D5" s="258" t="inlineStr">
        <is>
          <t>Yes</t>
        </is>
      </c>
      <c r="E5" s="258" t="inlineStr">
        <is>
          <t>Yes</t>
        </is>
      </c>
      <c r="F5" s="258" t="inlineStr">
        <is>
          <t>A1 to B2: emergency text</t>
        </is>
      </c>
      <c r="G5" s="258" t="inlineStr">
        <is>
          <t>Forward/receive/ACK</t>
        </is>
      </c>
      <c r="H5" s="258" t="inlineStr">
        <is>
          <t>Route local or remote</t>
        </is>
      </c>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ACK</t>
        </is>
      </c>
      <c r="B6" s="258" t="inlineStr">
        <is>
          <t>type,msg_id,src,dst,status,path,timestamp</t>
        </is>
      </c>
      <c r="C6" s="258" t="inlineStr">
        <is>
          <t>Confirm delivery or relay acceptance</t>
        </is>
      </c>
      <c r="D6" s="258" t="inlineStr">
        <is>
          <t>No</t>
        </is>
      </c>
      <c r="E6" s="258" t="inlineStr">
        <is>
          <t>Yes</t>
        </is>
      </c>
      <c r="F6" s="258" t="inlineStr">
        <is>
          <t>ACK for MSG123</t>
        </is>
      </c>
      <c r="G6" s="258" t="inlineStr">
        <is>
          <t>Return to previous hop</t>
        </is>
      </c>
      <c r="H6" s="258" t="inlineStr">
        <is>
          <t>Update delivery state</t>
        </is>
      </c>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ROUTE_ADV</t>
        </is>
      </c>
      <c r="B7" s="258" t="inlineStr">
        <is>
          <t>type,gateway_id,network_id,metric,hop_count</t>
        </is>
      </c>
      <c r="C7" s="258" t="inlineStr">
        <is>
          <t>Gateway/route advertisement</t>
        </is>
      </c>
      <c r="D7" s="258" t="inlineStr">
        <is>
          <t>No</t>
        </is>
      </c>
      <c r="E7" s="258" t="inlineStr">
        <is>
          <t>Latest only</t>
        </is>
      </c>
      <c r="F7" s="258" t="inlineStr">
        <is>
          <t>GWA advertises NET_A</t>
        </is>
      </c>
      <c r="G7" s="258" t="inlineStr">
        <is>
          <t>Store route score</t>
        </is>
      </c>
      <c r="H7" s="258" t="inlineStr">
        <is>
          <t>Advertise network reachability</t>
        </is>
      </c>
      <c r="I7" s="257" t="n"/>
      <c r="J7" s="257" t="n"/>
      <c r="K7" s="257" t="n"/>
      <c r="L7" s="257" t="n"/>
      <c r="M7" s="257" t="n"/>
      <c r="N7" s="257" t="n"/>
      <c r="O7" s="257" t="n"/>
      <c r="P7" s="257" t="n"/>
      <c r="Q7" s="257" t="n"/>
      <c r="R7" s="257" t="n"/>
      <c r="S7" s="257" t="n"/>
      <c r="T7" s="257" t="n"/>
      <c r="U7" s="257" t="n"/>
      <c r="V7" s="257" t="n"/>
      <c r="W7" s="257" t="n"/>
      <c r="X7" s="257" t="n"/>
      <c r="Y7" s="257" t="n"/>
      <c r="Z7" s="257" t="n"/>
    </row>
    <row r="8">
      <c r="A8" s="258" t="inlineStr">
        <is>
          <t>NACK</t>
        </is>
      </c>
      <c r="B8" s="258" t="inlineStr">
        <is>
          <t>type,msg_id,reason,last_hop</t>
        </is>
      </c>
      <c r="C8" s="258" t="inlineStr">
        <is>
          <t>Signal failure</t>
        </is>
      </c>
      <c r="D8" s="258" t="inlineStr">
        <is>
          <t>No</t>
        </is>
      </c>
      <c r="E8" s="258" t="inlineStr">
        <is>
          <t>Yes</t>
        </is>
      </c>
      <c r="F8" s="258" t="inlineStr">
        <is>
          <t>Destination unreachable</t>
        </is>
      </c>
      <c r="G8" s="258" t="inlineStr">
        <is>
          <t>Try alternate route</t>
        </is>
      </c>
      <c r="H8" s="258" t="inlineStr">
        <is>
          <t>Trigger gateway forwarding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s="257" t="inlineStr">
        <is>
          <t>DELIVERED</t>
        </is>
      </c>
      <c r="B9" s="257" t="inlineStr">
        <is>
          <t>type,msg_id,src,dst,status,timestamp</t>
        </is>
      </c>
      <c r="C9" s="257" t="inlineStr">
        <is>
          <t>Confirm message reached destination node</t>
        </is>
      </c>
      <c r="D9" s="257" t="inlineStr">
        <is>
          <t>No</t>
        </is>
      </c>
      <c r="E9" s="257" t="inlineStr">
        <is>
          <t>Yes</t>
        </is>
      </c>
      <c r="F9" s="257" t="inlineStr">
        <is>
          <t>DELIVERED for MSG123</t>
        </is>
      </c>
      <c r="G9" s="257" t="inlineStr">
        <is>
          <t>Return to sender via reverse path</t>
        </is>
      </c>
      <c r="H9" s="257" t="inlineStr">
        <is>
          <t>Update delivery state</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57" t="inlineStr">
        <is>
          <t>SEEN</t>
        </is>
      </c>
      <c r="B10" s="257" t="inlineStr">
        <is>
          <t>type,msg_id,src,dst,status,timestamp</t>
        </is>
      </c>
      <c r="C10" s="257" t="inlineStr">
        <is>
          <t>Confirm recipient user has read message</t>
        </is>
      </c>
      <c r="D10" s="257" t="inlineStr">
        <is>
          <t>No</t>
        </is>
      </c>
      <c r="E10" s="257" t="inlineStr">
        <is>
          <t>Yes</t>
        </is>
      </c>
      <c r="F10" s="257" t="inlineStr">
        <is>
          <t>SEEN for MSG123</t>
        </is>
      </c>
      <c r="G10" s="257" t="inlineStr">
        <is>
          <t>Return to sender via reverse path</t>
        </is>
      </c>
      <c r="H10" s="257" t="inlineStr">
        <is>
          <t>Update read receipt state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32" customWidth="1" style="51" min="2" max="2"/>
    <col width="36" customWidth="1" style="51" min="3" max="3"/>
    <col width="34" customWidth="1" style="51" min="4" max="4"/>
    <col width="34" customWidth="1" style="51" min="5" max="5"/>
    <col width="34" customWidth="1" style="51" min="6" max="6"/>
    <col width="24" customWidth="1" style="51" min="7" max="7"/>
    <col width="16" customWidth="1" style="51" min="8" max="8"/>
  </cols>
  <sheetData>
    <row r="1">
      <c r="A1" s="267" t="inlineStr">
        <is>
          <t>Routing &amp; Failover Logic - Test-Aligned</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Mode</t>
        </is>
      </c>
      <c r="B3" s="169" t="inlineStr">
        <is>
          <t>Trigger</t>
        </is>
      </c>
      <c r="C3" s="169" t="inlineStr">
        <is>
          <t>Primary Action</t>
        </is>
      </c>
      <c r="D3" s="169" t="inlineStr">
        <is>
          <t>Fallback Action</t>
        </is>
      </c>
      <c r="E3" s="169" t="inlineStr">
        <is>
          <t>Required Log Fields</t>
        </is>
      </c>
      <c r="F3" s="169" t="inlineStr">
        <is>
          <t>Acceptance Criteria</t>
        </is>
      </c>
      <c r="G3" s="169" t="inlineStr">
        <is>
          <t>Development Phase</t>
        </is>
      </c>
      <c r="H3" s="169" t="inlineStr">
        <is>
          <t>Status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Baseline</t>
        </is>
      </c>
      <c r="B4" s="258" t="inlineStr">
        <is>
          <t>Startup / stable links</t>
        </is>
      </c>
      <c r="C4" s="258" t="inlineStr">
        <is>
          <t>6 nodes discover neighbors and exchange local LoRa messages; local LoRa MANET is Priority 1</t>
        </is>
      </c>
      <c r="D4" s="258" t="inlineStr">
        <is>
          <t>Keep gateway backhaul inactive for local-only delivery</t>
        </is>
      </c>
      <c r="E4" s="258" t="inlineStr">
        <is>
          <t>startup_time, neighbor_count, pdr, rssi, snr, HELLO packet IDs, node table count, NODE_LIST export count</t>
        </is>
      </c>
      <c r="F4" s="258" t="inlineStr">
        <is>
          <t>MANET forms &lt;=30 sec; NODE_LIST includes nodeA1/nodeA2/gatewayA/gatewayB after STEP045A; PDR &gt;=95%; satellite inactive</t>
        </is>
      </c>
      <c r="G4" s="258" t="inlineStr">
        <is>
          <t>ESP32 + Android physical validation</t>
        </is>
      </c>
      <c r="H4" s="258" t="inlineStr">
        <is>
          <t>PASS for STEP045A mesh-wide presence propagation and STEP042B 2-node messaging; nodeA3 still not deployed.</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Degradation Detection</t>
        </is>
      </c>
      <c r="B5" t="inlineStr">
        <is>
          <t>RSSI &lt; -78 dBm for 10 sec or repeated ACK failure</t>
        </is>
      </c>
      <c r="C5" t="inlineStr">
        <is>
          <t>Mark route degraded; record event</t>
        </is>
      </c>
      <c r="D5" t="inlineStr">
        <is>
          <t>Prepare gateway failover route</t>
        </is>
      </c>
      <c r="E5" t="inlineStr">
        <is>
          <t>rssi_min, snr, ack_fail_count, degrade_start, degrade_end</t>
        </is>
      </c>
      <c r="F5" t="inlineStr">
        <is>
          <t>Degradation detected after 10 sec</t>
        </is>
      </c>
      <c r="G5" t="inlineStr">
        <is>
          <t>ESP32 + RPi simulation</t>
        </is>
      </c>
      <c r="H5" t="inlineStr">
        <is>
          <t>Pending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Failover Activation</t>
        </is>
      </c>
      <c r="B6" s="258" t="inlineStr">
        <is>
          <t>Route unavailable locally or destination belongs to remote MANET</t>
        </is>
      </c>
      <c r="C6" s="258" t="inlineStr">
        <is>
          <t>Gateway forwards via primary Tailscale VPN tunnel over internet</t>
        </is>
      </c>
      <c r="D6" s="258" t="inlineStr">
        <is>
          <t>If internet/Tailscale unavailable, use long-range LoRa gateway backup; GSM/cellular remains optional future fallback</t>
        </is>
      </c>
      <c r="E6" t="inlineStr">
        <is>
          <t>failover_start, failover_end, route_used, queue_depth</t>
        </is>
      </c>
      <c r="F6" t="inlineStr">
        <is>
          <t>Failover trigger time = 10 sec</t>
        </is>
      </c>
      <c r="G6" s="258" t="inlineStr">
        <is>
          <t>RPi gateway + Tailscale VPN primary + LoRa backup</t>
        </is>
      </c>
      <c r="H6" s="258" t="inlineStr">
        <is>
          <t>PASS - STEP040B Tailscale TCP relay validated; ESP32 serial bridge pending</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Store &amp; Forward</t>
        </is>
      </c>
      <c r="B7" s="258" t="inlineStr">
        <is>
          <t>Tailscale peer unavailable, internet unavailable, or receiver unavailable</t>
        </is>
      </c>
      <c r="C7" s="258" t="inlineStr">
        <is>
          <t>Queue messages and retry until peer/API ACK; use LoRa backup backhaul if available</t>
        </is>
      </c>
      <c r="D7" s="258" t="inlineStr">
        <is>
          <t>Preserve FIFO order; track gateway ACKs and peer status</t>
        </is>
      </c>
      <c r="E7" s="258" t="inlineStr">
        <is>
          <t>message_id, retry_count, queue_time, ack_time, peer_online, heartbeat_status</t>
        </is>
      </c>
      <c r="F7" t="inlineStr">
        <is>
          <t>No message loss during recovery test</t>
        </is>
      </c>
      <c r="G7" s="258" t="inlineStr">
        <is>
          <t>RPi gateway</t>
        </is>
      </c>
      <c r="H7" s="258" t="inlineStr">
        <is>
          <t>ACK and heartbeat validated in STEP040B; store-and-forward queue pending</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Recovery</t>
        </is>
      </c>
      <c r="B8" t="inlineStr">
        <is>
          <t>MANET route stable for 10 sec</t>
        </is>
      </c>
      <c r="C8" s="258" t="inlineStr">
        <is>
          <t>Switch back to primary local LoRa route when local route is stable</t>
        </is>
      </c>
      <c r="D8" s="258" t="inlineStr">
        <is>
          <t>Stop using Tailscale/GSM backhaul for normal local traffic</t>
        </is>
      </c>
      <c r="E8" t="inlineStr">
        <is>
          <t>recovery_start, recovery_end, route_before, route_after</t>
        </is>
      </c>
      <c r="F8" t="inlineStr">
        <is>
          <t>Switchback ≤5 sec; no message loss</t>
        </is>
      </c>
      <c r="G8" t="inlineStr">
        <is>
          <t>RPi gateway</t>
        </is>
      </c>
      <c r="H8" s="258" t="inlineStr">
        <is>
          <t>Pending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Manual App Selection</t>
        </is>
      </c>
      <c r="B9" t="inlineStr">
        <is>
          <t>User selects LoRa / WiFi / GSM</t>
        </is>
      </c>
      <c r="C9" t="inlineStr">
        <is>
          <t>Use selected interface when available</t>
        </is>
      </c>
      <c r="D9" t="inlineStr">
        <is>
          <t>Show unavailable warning if selected path fails</t>
        </is>
      </c>
      <c r="E9" t="inlineStr">
        <is>
          <t>selected_network, actual_network, error</t>
        </is>
      </c>
      <c r="F9" t="inlineStr">
        <is>
          <t>Manual mode must not break Auto mode tests</t>
        </is>
      </c>
      <c r="G9" t="inlineStr">
        <is>
          <t>Android app</t>
        </is>
      </c>
      <c r="H9" t="inlineStr">
        <is>
          <t>Pending</t>
        </is>
      </c>
      <c r="I9" s="257" t="n"/>
      <c r="J9" s="257" t="n"/>
      <c r="K9" s="257" t="n"/>
      <c r="L9" s="257" t="n"/>
      <c r="M9" s="257" t="n"/>
      <c r="N9" s="257" t="n"/>
      <c r="O9" s="257" t="n"/>
      <c r="P9" s="257" t="n"/>
      <c r="Q9" s="257" t="n"/>
      <c r="R9" s="257" t="n"/>
      <c r="S9" s="257" t="n"/>
      <c r="T9" s="257" t="n"/>
      <c r="U9" s="257" t="n"/>
      <c r="V9" s="257" t="n"/>
      <c r="W9" s="257" t="n"/>
      <c r="X9" s="257" t="n"/>
      <c r="Y9" s="257" t="n"/>
      <c r="Z9" s="257" t="n"/>
    </row>
    <row r="10">
      <c r="A10" s="49" t="inlineStr">
        <is>
          <t>Architecture Priority</t>
        </is>
      </c>
      <c r="B10" s="49" t="inlineStr">
        <is>
          <t>Normal routing decision</t>
        </is>
      </c>
      <c r="C10" s="49" t="inlineStr">
        <is>
          <t>Priority 1 Local LoRa MANET; Priority 2 Tailscale VPN gateway tunnel; Priority 3 long-range LoRa gateway backup; Priority 4 GSM/cellular optional fallback</t>
        </is>
      </c>
      <c r="D10" s="49" t="inlineStr">
        <is>
          <t>Use highest available priority path</t>
        </is>
      </c>
      <c r="E10" s="49" t="inlineStr">
        <is>
          <t>selected_priority, actual_route, fallback_reason</t>
        </is>
      </c>
      <c r="F10" s="49" t="inlineStr">
        <is>
          <t>Manual/Auto routing must preserve local LoRa first</t>
        </is>
      </c>
      <c r="G10" s="49" t="inlineStr">
        <is>
          <t>Android + ESP32 + RPi gateway</t>
        </is>
      </c>
      <c r="H10" s="49" t="inlineStr">
        <is>
          <t>STEP040B priority preserved; gateway tunnel operational</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45" customWidth="1" style="51" min="2" max="2"/>
    <col width="24" customWidth="1" style="51" min="3" max="3"/>
    <col width="24" customWidth="1" style="51" min="4" max="4"/>
    <col width="32" customWidth="1" style="51" min="5" max="5"/>
    <col width="32" customWidth="1" style="51" min="6" max="6"/>
    <col width="12" customWidth="1" style="51" min="7" max="7"/>
    <col width="14" customWidth="1" style="51" min="8" max="8"/>
    <col width="34" customWidth="1" style="51" min="9" max="9"/>
  </cols>
  <sheetData>
    <row r="1">
      <c r="A1" s="44" t="inlineStr">
        <is>
          <t>Simulation-First Development Plan</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Simulation Item</t>
        </is>
      </c>
      <c r="B3" s="42" t="inlineStr">
        <is>
          <t>Description</t>
        </is>
      </c>
      <c r="C3" s="42" t="inlineStr">
        <is>
          <t>Output File/Module</t>
        </is>
      </c>
      <c r="D3" s="42" t="inlineStr">
        <is>
          <t>Inputs</t>
        </is>
      </c>
      <c r="E3" s="42" t="inlineStr">
        <is>
          <t>Expected Output</t>
        </is>
      </c>
      <c r="F3" s="42" t="inlineStr">
        <is>
          <t>Pass Criteria</t>
        </is>
      </c>
      <c r="G3" s="42" t="inlineStr">
        <is>
          <t>Priority</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Node simulator</t>
        </is>
      </c>
      <c r="B4" s="258" t="inlineStr">
        <is>
          <t>Emulates ESP32 node behavior: HELLO, MSG, ACK, retry, battery</t>
        </is>
      </c>
      <c r="C4" s="258" t="inlineStr">
        <is>
          <t>sim_node.py</t>
        </is>
      </c>
      <c r="D4" s="258" t="inlineStr">
        <is>
          <t>Node ID, network ID, links</t>
        </is>
      </c>
      <c r="E4" s="258" t="inlineStr">
        <is>
          <t>Console/log packets</t>
        </is>
      </c>
      <c r="F4" s="258" t="inlineStr">
        <is>
          <t>6 nodes run simultaneously</t>
        </is>
      </c>
      <c r="G4" s="258" t="inlineStr">
        <is>
          <t>High</t>
        </is>
      </c>
      <c r="H4" s="258" t="inlineStr">
        <is>
          <t>Not Started</t>
        </is>
      </c>
      <c r="I4" s="258" t="str"/>
      <c r="J4" s="257" t="n"/>
      <c r="K4" s="257" t="n"/>
      <c r="L4" s="257" t="n"/>
      <c r="M4" s="257" t="n"/>
      <c r="N4" s="257" t="n"/>
      <c r="O4" s="257" t="n"/>
      <c r="P4" s="257" t="n"/>
      <c r="Q4" s="257" t="n"/>
      <c r="R4" s="257" t="n"/>
      <c r="S4" s="257" t="n"/>
      <c r="T4" s="257" t="n"/>
      <c r="U4" s="257" t="n"/>
      <c r="V4" s="257" t="n"/>
      <c r="W4" s="257" t="n"/>
      <c r="X4" s="257" t="n"/>
      <c r="Y4" s="257" t="n"/>
      <c r="Z4" s="257" t="n"/>
    </row>
    <row r="5">
      <c r="A5" s="258" t="inlineStr">
        <is>
          <t>Gateway simulator</t>
        </is>
      </c>
      <c r="B5" s="258" t="inlineStr">
        <is>
          <t>Emulates Pi gateway, local LoRa intake, primary Tailscale-like backhaul, and LoRa gateway backup behavior</t>
        </is>
      </c>
      <c r="C5" s="258" t="inlineStr">
        <is>
          <t>sim_gateway.py</t>
        </is>
      </c>
      <c r="D5" s="258" t="inlineStr">
        <is>
          <t>GWA/GWB config</t>
        </is>
      </c>
      <c r="E5" s="258" t="inlineStr">
        <is>
          <t>Routes unknown destinations to remote gateway peer using priority order</t>
        </is>
      </c>
      <c r="F5" s="258" t="inlineStr">
        <is>
          <t>A1 to B2 delivery works through primary gateway tunnel and can fall back to LoRa backup</t>
        </is>
      </c>
      <c r="G5" s="258" t="inlineStr">
        <is>
          <t>High</t>
        </is>
      </c>
      <c r="H5" s="258" t="inlineStr">
        <is>
          <t>Not Started - STEP039 architecture finalized</t>
        </is>
      </c>
      <c r="I5" s="258" t="str"/>
      <c r="J5" s="257" t="n"/>
      <c r="K5" s="257" t="n"/>
      <c r="L5" s="257" t="n"/>
      <c r="M5" s="257" t="n"/>
      <c r="N5" s="257" t="n"/>
      <c r="O5" s="257" t="n"/>
      <c r="P5" s="257" t="n"/>
      <c r="Q5" s="257" t="n"/>
      <c r="R5" s="257" t="n"/>
      <c r="S5" s="257" t="n"/>
      <c r="T5" s="257" t="n"/>
      <c r="U5" s="257" t="n"/>
      <c r="V5" s="257" t="n"/>
      <c r="W5" s="257" t="n"/>
      <c r="X5" s="257" t="n"/>
      <c r="Y5" s="257" t="n"/>
      <c r="Z5" s="257" t="n"/>
    </row>
    <row r="6">
      <c r="A6" s="258" t="inlineStr">
        <is>
          <t>Network fault simulator</t>
        </is>
      </c>
      <c r="B6" s="258" t="inlineStr">
        <is>
          <t>Drops packets, lowers RSSI, adds delay</t>
        </is>
      </c>
      <c r="C6" s="258" t="inlineStr">
        <is>
          <t>sim_faults.py</t>
        </is>
      </c>
      <c r="D6" s="258" t="inlineStr">
        <is>
          <t>Fault profile</t>
        </is>
      </c>
      <c r="E6" s="258" t="inlineStr">
        <is>
          <t>Failover/recovery events</t>
        </is>
      </c>
      <c r="F6" s="258" t="inlineStr">
        <is>
          <t>Failover at 10s</t>
        </is>
      </c>
      <c r="G6" s="258" t="inlineStr">
        <is>
          <t>High</t>
        </is>
      </c>
      <c r="H6" s="258" t="inlineStr">
        <is>
          <t>Not Started</t>
        </is>
      </c>
      <c r="I6" s="258" t="str"/>
      <c r="J6" s="257" t="n"/>
      <c r="K6" s="257" t="n"/>
      <c r="L6" s="257" t="n"/>
      <c r="M6" s="257" t="n"/>
      <c r="N6" s="257" t="n"/>
      <c r="O6" s="257" t="n"/>
      <c r="P6" s="257" t="n"/>
      <c r="Q6" s="257" t="n"/>
      <c r="R6" s="257" t="n"/>
      <c r="S6" s="257" t="n"/>
      <c r="T6" s="257" t="n"/>
      <c r="U6" s="257" t="n"/>
      <c r="V6" s="257" t="n"/>
      <c r="W6" s="257" t="n"/>
      <c r="X6" s="257" t="n"/>
      <c r="Y6" s="257" t="n"/>
      <c r="Z6" s="257" t="n"/>
    </row>
    <row r="7">
      <c r="A7" s="258" t="inlineStr">
        <is>
          <t>Message store</t>
        </is>
      </c>
      <c r="B7" s="258" t="inlineStr">
        <is>
          <t>SQLite or JSONL logs for messages and events</t>
        </is>
      </c>
      <c r="C7" s="258" t="inlineStr">
        <is>
          <t>messages.db/logs</t>
        </is>
      </c>
      <c r="D7" s="258" t="inlineStr">
        <is>
          <t>Packets/events</t>
        </is>
      </c>
      <c r="E7" s="258" t="inlineStr">
        <is>
          <t>Traceable delivery status</t>
        </is>
      </c>
      <c r="F7" s="258" t="inlineStr">
        <is>
          <t>No duplicate delivered messages</t>
        </is>
      </c>
      <c r="G7" s="258" t="inlineStr">
        <is>
          <t>High</t>
        </is>
      </c>
      <c r="H7" s="258" t="inlineStr">
        <is>
          <t>Not Started</t>
        </is>
      </c>
      <c r="I7" s="258" t="str"/>
      <c r="J7" s="257" t="n"/>
      <c r="K7" s="257" t="n"/>
      <c r="L7" s="257" t="n"/>
      <c r="M7" s="257" t="n"/>
      <c r="N7" s="257" t="n"/>
      <c r="O7" s="257" t="n"/>
      <c r="P7" s="257" t="n"/>
      <c r="Q7" s="257" t="n"/>
      <c r="R7" s="257" t="n"/>
      <c r="S7" s="257" t="n"/>
      <c r="T7" s="257" t="n"/>
      <c r="U7" s="257" t="n"/>
      <c r="V7" s="257" t="n"/>
      <c r="W7" s="257" t="n"/>
      <c r="X7" s="257" t="n"/>
      <c r="Y7" s="257" t="n"/>
      <c r="Z7" s="257" t="n"/>
    </row>
    <row r="8">
      <c r="A8" s="258" t="inlineStr">
        <is>
          <t>Dashboard mock</t>
        </is>
      </c>
      <c r="B8" s="258" t="inlineStr">
        <is>
          <t>Optional local web view for simulation</t>
        </is>
      </c>
      <c r="C8" s="258" t="inlineStr">
        <is>
          <t>Flask app</t>
        </is>
      </c>
      <c r="D8" s="258" t="inlineStr">
        <is>
          <t>Sim state</t>
        </is>
      </c>
      <c r="E8" s="258" t="inlineStr">
        <is>
          <t>Node and route display</t>
        </is>
      </c>
      <c r="F8" s="258" t="inlineStr">
        <is>
          <t>Usable before hardware</t>
        </is>
      </c>
      <c r="G8" s="258" t="inlineStr">
        <is>
          <t>Medium</t>
        </is>
      </c>
      <c r="H8" s="258" t="inlineStr">
        <is>
          <t>Not Started</t>
        </is>
      </c>
      <c r="I8" s="258" t="str"/>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35" customWidth="1" style="51" min="2" max="2"/>
    <col width="38" customWidth="1" style="51" min="3" max="3"/>
    <col width="28" customWidth="1" style="51" min="4" max="4"/>
    <col width="24" customWidth="1" style="51" min="5" max="5"/>
    <col width="20" customWidth="1" style="51" min="6" max="6"/>
    <col width="16" customWidth="1" style="51" min="7" max="7"/>
    <col width="45" customWidth="1" style="51" min="8" max="8"/>
  </cols>
  <sheetData>
    <row r="1">
      <c r="A1" s="267" t="inlineStr">
        <is>
          <t>Android Messaging App Plan - Bluetooth / WiFi / GSM / LoRa</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Feature</t>
        </is>
      </c>
      <c r="B3" s="169" t="inlineStr">
        <is>
          <t>Purpose</t>
        </is>
      </c>
      <c r="C3" s="169" t="inlineStr">
        <is>
          <t>Minimum Requirement</t>
        </is>
      </c>
      <c r="D3" s="169" t="inlineStr">
        <is>
          <t>Test Impact</t>
        </is>
      </c>
      <c r="E3" s="169" t="inlineStr">
        <is>
          <t>Interface</t>
        </is>
      </c>
      <c r="F3" s="169" t="inlineStr">
        <is>
          <t>Phase</t>
        </is>
      </c>
      <c r="G3" s="169" t="inlineStr">
        <is>
          <t>Status</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Bluetooth pairing to ESP32 node</t>
        </is>
      </c>
      <c r="B4" t="inlineStr">
        <is>
          <t>Route messages to LoRa when WiFi/GSM are unavailable</t>
        </is>
      </c>
      <c r="C4" t="inlineStr">
        <is>
          <t>Pair one phone to one MANET node; reconnect automatically</t>
        </is>
      </c>
      <c r="D4" t="inlineStr">
        <is>
          <t>Required for end-to-end LoRa validation</t>
        </is>
      </c>
      <c r="E4" t="inlineStr">
        <is>
          <t>Bluetooth Serial/BLE</t>
        </is>
      </c>
      <c r="F4" t="inlineStr">
        <is>
          <t>Android Phase 1</t>
        </is>
      </c>
      <c r="G4" t="inlineStr">
        <is>
          <t>Pending</t>
        </is>
      </c>
      <c r="H4" t="inlineStr">
        <is>
          <t>One Android phone maximum per node. Start with classic Bluetooth SPP if ESP32 Android compatibility is acceptable; BLE if needed.</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Auto network selection</t>
        </is>
      </c>
      <c r="B5" t="inlineStr">
        <is>
          <t>Select best available route</t>
        </is>
      </c>
      <c r="C5" t="inlineStr">
        <is>
          <t>Check WiFi, GSM, Bluetooth-LoRa status</t>
        </is>
      </c>
      <c r="D5" t="inlineStr">
        <is>
          <t>Supports degraded/failover behavior</t>
        </is>
      </c>
      <c r="E5" t="inlineStr">
        <is>
          <t>Android network APIs + BT status</t>
        </is>
      </c>
      <c r="F5" t="inlineStr">
        <is>
          <t>Android Phase 2</t>
        </is>
      </c>
      <c r="G5" t="inlineStr">
        <is>
          <t>Pending</t>
        </is>
      </c>
      <c r="H5" t="inlineStr">
        <is>
          <t>Auto should prefer local WiFi when valid, then GSM, then LoRa depending on policy; tests can force LoRa.</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route selection</t>
        </is>
      </c>
      <c r="B6" t="inlineStr">
        <is>
          <t>User can choose LoRa, WiFi, or GSM</t>
        </is>
      </c>
      <c r="C6" t="inlineStr">
        <is>
          <t>Dropdown or segmented control</t>
        </is>
      </c>
      <c r="D6" t="inlineStr">
        <is>
          <t>Allows controlled test cases</t>
        </is>
      </c>
      <c r="E6" t="inlineStr">
        <is>
          <t>UI setting</t>
        </is>
      </c>
      <c r="F6" t="inlineStr">
        <is>
          <t>Android Phase 2</t>
        </is>
      </c>
      <c r="G6" t="inlineStr">
        <is>
          <t>Pending</t>
        </is>
      </c>
      <c r="H6" t="inlineStr">
        <is>
          <t>Manual setting must show selected and actual route.</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Message status</t>
        </is>
      </c>
      <c r="B7" t="inlineStr">
        <is>
          <t>Show sent, queued, delivered, failed</t>
        </is>
      </c>
      <c r="C7" t="inlineStr">
        <is>
          <t>Display ACK state, route used, and delivery tracking (MESSAGE / DELIVERED / SEEN)</t>
        </is>
      </c>
      <c r="D7" t="inlineStr">
        <is>
          <t>Needed for validation evidence</t>
        </is>
      </c>
      <c r="E7" t="inlineStr">
        <is>
          <t>Gateway/API + BT response</t>
        </is>
      </c>
      <c r="F7" t="inlineStr">
        <is>
          <t>Android Phase 2</t>
        </is>
      </c>
      <c r="G7" t="inlineStr">
        <is>
          <t>Pending</t>
        </is>
      </c>
      <c r="H7" t="inlineStr">
        <is>
          <t>Keep message IDs visible in debug mode. Delivery tracking states: MESSAGE, DELIVERED, SEEN.</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Simulation mode</t>
        </is>
      </c>
      <c r="B8" t="inlineStr">
        <is>
          <t>Test without real radios</t>
        </is>
      </c>
      <c r="C8" t="inlineStr">
        <is>
          <t>Mock route status and message delivery</t>
        </is>
      </c>
      <c r="D8" t="inlineStr">
        <is>
          <t>Used before hardware testing</t>
        </is>
      </c>
      <c r="E8" t="inlineStr">
        <is>
          <t>Local mock service</t>
        </is>
      </c>
      <c r="F8" t="inlineStr">
        <is>
          <t>Android Phase 0</t>
        </is>
      </c>
      <c r="G8" t="inlineStr">
        <is>
          <t>Pending</t>
        </is>
      </c>
      <c r="H8" t="inlineStr">
        <is>
          <t>Important because development starts in simulation.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58" t="inlineStr">
        <is>
          <t>Node list visibility</t>
        </is>
      </c>
      <c r="B9" s="258" t="inlineStr">
        <is>
          <t>Show only online/reachable nodes in Android UI</t>
        </is>
      </c>
      <c r="C9" s="258" t="inlineStr">
        <is>
          <t>Nodes grouped by mesh/gateway; nodes remain visible even without Android phones attached</t>
        </is>
      </c>
      <c r="D9" s="258" t="inlineStr">
        <is>
          <t>Required for clarified requirements 2026-06-02</t>
        </is>
      </c>
      <c r="E9" s="258" t="inlineStr">
        <is>
          <t>Node table + reachability state</t>
        </is>
      </c>
      <c r="F9" s="258" t="inlineStr">
        <is>
          <t>Android Phase 2</t>
        </is>
      </c>
      <c r="G9" s="258" t="inlineStr">
        <is>
          <t>Validated - live discovered-node UI cleanup PASS</t>
        </is>
      </c>
      <c r="H9" s="258" t="inlineStr">
        <is>
          <t>STEP045B PASS: Android shows live discovered node IDs, excludes local connected node from destinations, uses selected discovered node for Chat send, and labels fallback state clearly. Physical Android hardware validation passed.</t>
        </is>
      </c>
      <c r="I9" s="257" t="n"/>
      <c r="J9" s="257" t="n"/>
      <c r="K9" s="257" t="n"/>
      <c r="L9" s="257" t="n"/>
      <c r="M9" s="257" t="n"/>
      <c r="N9" s="257" t="n"/>
      <c r="O9" s="257" t="n"/>
      <c r="P9" s="257" t="n"/>
      <c r="Q9" s="257" t="n"/>
      <c r="R9" s="257" t="n"/>
      <c r="S9" s="257" t="n"/>
      <c r="T9" s="257" t="n"/>
      <c r="U9" s="257" t="n"/>
      <c r="V9" s="257" t="n"/>
      <c r="W9" s="257" t="n"/>
      <c r="X9" s="257" t="n"/>
      <c r="Y9" s="257" t="n"/>
      <c r="Z9" s="257" t="n"/>
    </row>
    <row r="10">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2" customWidth="1" style="51" min="2" max="2"/>
    <col width="36" customWidth="1" style="51" min="3" max="3"/>
    <col width="38" customWidth="1" style="51" min="4" max="4"/>
    <col width="32" customWidth="1" style="51" min="5" max="5"/>
    <col width="36" customWidth="1" style="51" min="6" max="6"/>
    <col width="32" customWidth="1" style="51" min="7" max="7"/>
    <col width="32" customWidth="1" style="51" min="8" max="8"/>
    <col width="30" customWidth="1" style="51" min="9" max="9"/>
    <col width="16" customWidth="1" style="51" min="10" max="10"/>
  </cols>
  <sheetData>
    <row r="1">
      <c r="A1" s="267" t="inlineStr">
        <is>
          <t>Test Campaign - Pass/Fail Mapping to Updated Diagrams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Test</t>
        </is>
      </c>
      <c r="B3" s="169" t="inlineStr">
        <is>
          <t>System Mode</t>
        </is>
      </c>
      <c r="C3" s="169" t="inlineStr">
        <is>
          <t>Required Setup</t>
        </is>
      </c>
      <c r="D3" s="169" t="inlineStr">
        <is>
          <t>Procedure Focus</t>
        </is>
      </c>
      <c r="E3" s="169" t="inlineStr">
        <is>
          <t>Measured Parameters</t>
        </is>
      </c>
      <c r="F3" s="169" t="inlineStr">
        <is>
          <t>Acceptance Criteria</t>
        </is>
      </c>
      <c r="G3" s="169" t="inlineStr">
        <is>
          <t>Diagram Reference</t>
        </is>
      </c>
      <c r="H3" s="169" t="inlineStr">
        <is>
          <t>Workbook Reference</t>
        </is>
      </c>
      <c r="I3" s="169" t="inlineStr">
        <is>
          <t>Evidence to Capture</t>
        </is>
      </c>
      <c r="J3" s="169" t="inlineStr">
        <is>
          <t>Status</t>
        </is>
      </c>
      <c r="K3" s="257" t="n"/>
      <c r="L3" s="257" t="n"/>
      <c r="M3" s="257" t="n"/>
      <c r="N3" s="257" t="n"/>
      <c r="O3" s="257" t="n"/>
      <c r="P3" s="257" t="n"/>
      <c r="Q3" s="257" t="n"/>
      <c r="R3" s="257" t="n"/>
      <c r="S3" s="257" t="n"/>
      <c r="T3" s="257" t="n"/>
      <c r="U3" s="257" t="n"/>
      <c r="V3" s="257" t="n"/>
      <c r="W3" s="257" t="n"/>
      <c r="X3" s="257" t="n"/>
      <c r="Y3" s="257" t="n"/>
      <c r="Z3" s="257" t="n"/>
    </row>
    <row r="4">
      <c r="A4" t="inlineStr">
        <is>
          <t>Baseline Operation</t>
        </is>
      </c>
      <c r="B4" t="inlineStr">
        <is>
          <t>Normal LoRa MANET</t>
        </is>
      </c>
      <c r="C4" s="258" t="inlineStr">
        <is>
          <t>Two Android phones, NODE_A/NODE_B ESP32 LoRa nodes, Bluetooth SPP paired; satellite/router path inactive for this validation</t>
        </is>
      </c>
      <c r="D4" s="258" t="inlineStr">
        <is>
          <t>Real Phone A -&gt; NODE_A -&gt; LoRa RF -&gt; NODE_B -&gt; Phone B message delivery</t>
        </is>
      </c>
      <c r="E4" s="258" t="inlineStr">
        <is>
          <t>BT_RX, LoRa forwarding, LORA_RX, BT_TX, RECEIVED_OVER_LORA, ACK forwarding status</t>
        </is>
      </c>
      <c r="F4" s="258" t="inlineStr">
        <is>
          <t>PASS for STEP 035 real RF E2E delivery; satellite inactive for this path</t>
        </is>
      </c>
      <c r="G4" t="inlineStr">
        <is>
          <t>System Diagram + Data Flow steps 1-4</t>
        </is>
      </c>
      <c r="H4" t="inlineStr">
        <is>
          <t>Routing &amp; Failover row Baseline</t>
        </is>
      </c>
      <c r="I4"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J4" s="258" t="inlineStr">
        <is>
          <t>PASS - STEP 034/035 physical RF E2E confirmed</t>
        </is>
      </c>
      <c r="K4" s="257" t="n"/>
      <c r="L4" s="257" t="n"/>
      <c r="M4" s="257" t="n"/>
      <c r="N4" s="257" t="n"/>
      <c r="O4" s="257" t="n"/>
      <c r="P4" s="257" t="n"/>
      <c r="Q4" s="257" t="n"/>
      <c r="R4" s="257" t="n"/>
      <c r="S4" s="257" t="n"/>
      <c r="T4" s="257" t="n"/>
      <c r="U4" s="257" t="n"/>
      <c r="V4" s="257" t="n"/>
      <c r="W4" s="257" t="n"/>
      <c r="X4" s="257" t="n"/>
      <c r="Y4" s="257" t="n"/>
      <c r="Z4" s="257" t="n"/>
    </row>
    <row r="5">
      <c r="A5" t="inlineStr">
        <is>
          <t>Network Degradation Detection</t>
        </is>
      </c>
      <c r="B5" t="inlineStr">
        <is>
          <t>Degraded MANET</t>
        </is>
      </c>
      <c r="C5" t="inlineStr">
        <is>
          <t>Same as baseline with distance/attenuation introduced</t>
        </is>
      </c>
      <c r="D5" t="inlineStr">
        <is>
          <t>Lower RSSI until threshold condition</t>
        </is>
      </c>
      <c r="E5" t="inlineStr">
        <is>
          <t>RSSI trend, detection time, route change</t>
        </is>
      </c>
      <c r="F5" t="inlineStr">
        <is>
          <t>RSSI &lt; -78 dBm for 10 sec must be detected</t>
        </is>
      </c>
      <c r="G5" t="inlineStr">
        <is>
          <t>Control Logic block</t>
        </is>
      </c>
      <c r="H5" t="inlineStr">
        <is>
          <t>Routing &amp; Failover row Degradation Detection</t>
        </is>
      </c>
      <c r="I5" t="inlineStr">
        <is>
          <t>RSSI log graph/table</t>
        </is>
      </c>
      <c r="J5" t="inlineStr">
        <is>
          <t>Pending</t>
        </is>
      </c>
      <c r="K5" s="257" t="n"/>
      <c r="L5" s="257" t="n"/>
      <c r="M5" s="257" t="n"/>
      <c r="N5" s="257" t="n"/>
      <c r="O5" s="257" t="n"/>
      <c r="P5" s="257" t="n"/>
      <c r="Q5" s="257" t="n"/>
      <c r="R5" s="257" t="n"/>
      <c r="S5" s="257" t="n"/>
      <c r="T5" s="257" t="n"/>
      <c r="U5" s="257" t="n"/>
      <c r="V5" s="257" t="n"/>
      <c r="W5" s="257" t="n"/>
      <c r="X5" s="257" t="n"/>
      <c r="Y5" s="257" t="n"/>
      <c r="Z5" s="257" t="n"/>
    </row>
    <row r="6" s="51">
      <c r="A6" s="258" t="inlineStr">
        <is>
          <t>Backhaul / Failover Activation</t>
        </is>
      </c>
      <c r="B6" s="258" t="inlineStr">
        <is>
          <t>Failover via primary RPi3B Tailscale VPN gateway tunnel</t>
        </is>
      </c>
      <c r="C6" s="258" t="inlineStr">
        <is>
          <t>MANET active, RPi3B Gateway A/B online, Ethernet/WiFi internet preferred, Tailscale peers configured; LoRa gateway backup available if internet is unavailable</t>
        </is>
      </c>
      <c r="D6" s="258" t="inlineStr">
        <is>
          <t>Route unavailable locally or destination belongs to remote MANET; forward through primary gateway VPN, then LoRa backup if needed</t>
        </is>
      </c>
      <c r="E6" s="258" t="inlineStr">
        <is>
          <t>trigger time, gateway status, Tailscale peer status, queue depth, gateway ACKs, heartbeat status</t>
        </is>
      </c>
      <c r="F6" t="inlineStr">
        <is>
          <t>Failover trigger time = 10 sec</t>
        </is>
      </c>
      <c r="G6" s="258" t="inlineStr">
        <is>
          <t>System Diagram failover path; Data Flow gateway backhaul path</t>
        </is>
      </c>
      <c r="H6" s="258" t="inlineStr">
        <is>
          <t>Routing &amp; Failover row Backhaul / Failover Activation</t>
        </is>
      </c>
      <c r="I6" s="258"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J6" s="258" t="inlineStr">
        <is>
          <t>PASS - STEP040B Tailscale TCP relay; STEP041 serial bridge pending</t>
        </is>
      </c>
      <c r="K6" s="257" t="n"/>
      <c r="L6" s="257" t="n"/>
      <c r="M6" s="257" t="n"/>
      <c r="N6" s="257" t="n"/>
      <c r="O6" s="257" t="n"/>
      <c r="P6" s="257" t="n"/>
      <c r="Q6" s="257" t="n"/>
      <c r="R6" s="257" t="n"/>
      <c r="S6" s="257" t="n"/>
      <c r="T6" s="257" t="n"/>
      <c r="U6" s="257" t="n"/>
      <c r="V6" s="257" t="n"/>
      <c r="W6" s="257" t="n"/>
      <c r="X6" s="257" t="n"/>
      <c r="Y6" s="257" t="n"/>
      <c r="Z6" s="257" t="n"/>
    </row>
    <row r="7" s="51">
      <c r="A7" s="49" t="inlineStr">
        <is>
          <t>STEP042A Node Discovery Acceptance</t>
        </is>
      </c>
      <c r="B7" s="49" t="inlineStr">
        <is>
          <t>Local LoRa MANET discovery</t>
        </is>
      </c>
      <c r="C7" s="49" t="inlineStr">
        <is>
          <t>gatewayA_lora/gatewayB_lora restored; nodeA1_lora/nodeA2_lora flashed; Phone A paired to PUP-MANET-nodeA1; Phone B paired to PUP-MANET-nodeA2; gateway ESP32 Bluetooth disabled</t>
        </is>
      </c>
      <c r="D7" s="49" t="inlineStr">
        <is>
          <t>Verify HELLO learning and Android NODE_LIST export after Refresh Nodes</t>
        </is>
      </c>
      <c r="E7" s="49" t="inlineStr">
        <is>
          <t>[NEIGHBOR_ADD], [NEIGHBOR_UPDATE], [NODE_LIST_EXPORT], NODE_LIST count, node IDs, gateway IDs, online state</t>
        </is>
      </c>
      <c r="F7" s="49" t="inlineStr">
        <is>
          <t>PASS: Android shows nodeA1 ONLINE, gatewayA ONLINE, nodeA2 ONLINE, and gatewayB ONLINE after STEP045A propagation.</t>
        </is>
      </c>
      <c r="G7" s="49" t="inlineStr">
        <is>
          <t>STEP042A discovery path</t>
        </is>
      </c>
      <c r="H7" s="49" t="inlineStr">
        <is>
          <t>Detailed Steps STEP042A</t>
        </is>
      </c>
      <c r="I7" s="49" t="inlineStr">
        <is>
          <t>Physical Android validation PASS after flashing gatewayA, gatewayB, nodeA1, and nodeA2. Android Nodes shows Gateway A: nodeA1 ONLINE, gatewayA ONLINE, nodeA2 ONLINE; Gateway B: gatewayB ONLINE. nodeA3 has not been flashed or deployed.</t>
        </is>
      </c>
      <c r="J7" s="49" t="inlineStr">
        <is>
          <t>PASS - mesh-wide discovery scope excluding undeployed nodeA3</t>
        </is>
      </c>
      <c r="K7" s="45" t="n"/>
      <c r="L7" s="45" t="n"/>
      <c r="M7" s="45" t="n"/>
      <c r="N7" s="45" t="n"/>
      <c r="O7" s="45" t="n"/>
      <c r="P7" s="45" t="n"/>
      <c r="Q7" s="45" t="n"/>
      <c r="R7" s="45" t="n"/>
      <c r="S7" s="45" t="n"/>
      <c r="T7" s="45" t="n"/>
      <c r="U7" s="45" t="n"/>
      <c r="V7" s="45" t="n"/>
      <c r="W7" s="45" t="n"/>
      <c r="X7" s="45" t="n"/>
      <c r="Y7" s="45" t="n"/>
      <c r="Z7" s="45" t="n"/>
    </row>
    <row r="8">
      <c r="A8" t="inlineStr">
        <is>
          <t>Recovery and Reversion</t>
        </is>
      </c>
      <c r="B8" t="inlineStr">
        <is>
          <t>Recovery mode</t>
        </is>
      </c>
      <c r="C8" t="inlineStr">
        <is>
          <t>Start in failover, then restore MANET link quality</t>
        </is>
      </c>
      <c r="D8" t="inlineStr">
        <is>
          <t>Stable RSSI for 10 sec then switch back</t>
        </is>
      </c>
      <c r="E8" t="inlineStr">
        <is>
          <t>Recovery time, packet loss, route before/after</t>
        </is>
      </c>
      <c r="F8" t="inlineStr">
        <is>
          <t>Switchback ≤5 sec; no message loss</t>
        </is>
      </c>
      <c r="G8" t="inlineStr">
        <is>
          <t>Data Flow recovery row</t>
        </is>
      </c>
      <c r="H8" t="inlineStr">
        <is>
          <t>Routing &amp; Failover row Recovery</t>
        </is>
      </c>
      <c r="I8" t="inlineStr">
        <is>
          <t>Route-change logs + message ACKs</t>
        </is>
      </c>
      <c r="J8" t="inlineStr">
        <is>
          <t>Pending</t>
        </is>
      </c>
      <c r="K8" s="257" t="n"/>
      <c r="L8" s="257" t="n"/>
      <c r="M8" s="257" t="n"/>
      <c r="N8" s="257" t="n"/>
      <c r="O8" s="257" t="n"/>
      <c r="P8" s="257" t="n"/>
      <c r="Q8" s="257" t="n"/>
      <c r="R8" s="257" t="n"/>
      <c r="S8" s="257" t="n"/>
      <c r="T8" s="257" t="n"/>
      <c r="U8" s="257" t="n"/>
      <c r="V8" s="257" t="n"/>
      <c r="W8" s="257" t="n"/>
      <c r="X8" s="257" t="n"/>
      <c r="Y8" s="257" t="n"/>
      <c r="Z8" s="257" t="n"/>
    </row>
    <row r="9">
      <c r="A9" s="49" t="inlineStr">
        <is>
          <t>STEP042B 2-node Destination Messaging</t>
        </is>
      </c>
      <c r="B9" s="49" t="inlineStr">
        <is>
          <t>Local LoRa MANET messaging</t>
        </is>
      </c>
      <c r="C9" s="49" t="inlineStr">
        <is>
          <t>Phone A connected to nodeA1; Phone B connected to nodeA2; temporary Android validation mapping nodeA2 -&gt; nodeA1 active because nodeA3 is not deployed</t>
        </is>
      </c>
      <c r="D9" s="49" t="inlineStr">
        <is>
          <t>Validate bidirectional Android Chat delivery over real LoRa using nodeA1 &lt;-&gt; nodeA2</t>
        </is>
      </c>
      <c r="E9" s="49" t="inlineStr">
        <is>
          <t>BT_RX, LORA_TX, LORA_RX, BT_TX, Android Chat receive path, source/destination node IDs</t>
        </is>
      </c>
      <c r="F9" s="49" t="inlineStr">
        <is>
          <t>PASS for 2-node validation only: nodeA1 -&gt; nodeA2 and nodeA2 -&gt; nodeA1 messages delivered</t>
        </is>
      </c>
      <c r="G9" s="49" t="inlineStr">
        <is>
          <t>STEP042B 2-node messaging path</t>
        </is>
      </c>
      <c r="H9" s="49" t="inlineStr">
        <is>
          <t>Detailed Steps STEP042B</t>
        </is>
      </c>
      <c r="I9" s="49" t="inlineStr">
        <is>
          <t>Phone A sent "hello from A" and Phone B received it via LoRa on path nodeA1 -&gt; nodeA2. Phone B sent "hello from b" and Phone A received it via LoRa on path nodeA2 -&gt; nodeA1. Temporary Android validation mapping in MainActivity.kt: peerNodeForConnectedEsp32() changed from "nodeA2" -&gt; "nodeA3" to "nodeA2" -&gt; "nodeA1" because nodeA3 has not been deployed.</t>
        </is>
      </c>
      <c r="J9" s="49" t="inlineStr">
        <is>
          <t>PASS - 2-node validation only</t>
        </is>
      </c>
      <c r="K9" s="49" t="n"/>
      <c r="L9" s="49" t="n"/>
      <c r="M9" s="49" t="n"/>
      <c r="N9" s="49" t="n"/>
      <c r="O9" s="49" t="n"/>
      <c r="P9" s="49" t="n"/>
      <c r="Q9" s="49" t="n"/>
      <c r="R9" s="49" t="n"/>
      <c r="S9" s="49" t="n"/>
      <c r="T9" s="49" t="n"/>
      <c r="U9" s="49" t="n"/>
      <c r="V9" s="49" t="n"/>
      <c r="W9" s="49" t="n"/>
      <c r="X9" s="49" t="n"/>
      <c r="Y9" s="49" t="n"/>
      <c r="Z9" s="49" t="n"/>
    </row>
    <row r="10">
      <c r="A10" s="49" t="inlineStr">
        <is>
          <t>STEP043 Gateway HELLO Format</t>
        </is>
      </c>
      <c r="B10" s="49" t="inlineStr">
        <is>
          <t>Gateway LoRa discovery</t>
        </is>
      </c>
      <c r="C10" s="49" t="inlineStr">
        <is>
          <t>gatewayA_lora and gatewayB_lora flashed with corrected compact BT1 receiver-side firmware; serial monitors open at 115200 baud</t>
        </is>
      </c>
      <c r="D10" s="49" t="inlineStr">
        <is>
          <t>Verify compact HELLO payload parse and reciprocal gateway discovery</t>
        </is>
      </c>
      <c r="E10" s="49" t="inlineStr">
        <is>
          <t>LORA_TX BT1 HELLO, LORA_RX BT1 HELLO, [LORA_RELAY_PARSE] valid, [DISCOVERY] HELLO, [NEIGHBOR_ADD]/[NEIGHBOR_UPDATE], STATUS, NEIGHBORS</t>
        </is>
      </c>
      <c r="F10" s="49" t="inlineStr">
        <is>
          <t>Gateway B discovers gatewayA; Gateway A discovers gatewayB; both neighbor tables list both gateways</t>
        </is>
      </c>
      <c r="G10" s="49" t="inlineStr">
        <is>
          <t>STEP043 gateway HELLO path</t>
        </is>
      </c>
      <c r="H10" s="49" t="inlineStr">
        <is>
          <t>Detailed Steps STEP043</t>
        </is>
      </c>
      <c r="I10" s="49" t="inlineStr">
        <is>
          <t>Expected physical validation: receiver logs [LORA_RX] payload=BT1|HELLO-..., [LORA_RELAY_PARSE] valid, [DISCOVERY] HELLO from gatewayA gateway=A or gatewayB gateway=B, and [NEIGHBOR_ADD]/[NEIGHBOR_UPDATE]; STATUS and NEIGHBORS list both gateways.</t>
        </is>
      </c>
      <c r="J10" s="49" t="inlineStr">
        <is>
          <t>PASS - STEP043 compact gateway discovery</t>
        </is>
      </c>
      <c r="K10" s="49" t="n"/>
      <c r="L10" s="49" t="n"/>
      <c r="M10" s="49" t="n"/>
      <c r="N10" s="49" t="n"/>
      <c r="O10" s="49" t="n"/>
      <c r="P10" s="49" t="n"/>
      <c r="Q10" s="49" t="n"/>
      <c r="R10" s="49" t="n"/>
      <c r="S10" s="49" t="n"/>
      <c r="T10" s="49" t="n"/>
      <c r="U10" s="49" t="n"/>
      <c r="V10" s="49" t="n"/>
      <c r="W10" s="49" t="n"/>
      <c r="X10" s="49" t="n"/>
      <c r="Y10" s="49" t="n"/>
      <c r="Z10" s="49" t="n"/>
    </row>
    <row r="11" s="51">
      <c r="A11" s="49" t="inlineStr">
        <is>
          <t>STEP044 Strict Compact Packet Rejection</t>
        </is>
      </c>
      <c r="B11" s="49" t="inlineStr">
        <is>
          <t>Corrupt compact BT1 packet rejection physical validation</t>
        </is>
      </c>
      <c r="C11" s="49" t="inlineStr">
        <is>
          <t>gatewayA_lora/gatewayB_lora/nodeA1_lora/nodeA2_lora built with strict compact BT1 parser</t>
        </is>
      </c>
      <c r="D11" s="49" t="inlineStr">
        <is>
          <t>Corrective firmware commit 9dba0ef flashed and RF-stress validated with four active LoRa nodes.</t>
        </is>
      </c>
      <c r="E11" s="49" t="inlineStr">
        <is>
          <t>PASS</t>
        </is>
      </c>
      <c r="F11"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G11" s="49" t="inlineStr">
        <is>
          <t>STEP044 corrupt BT1 path</t>
        </is>
      </c>
      <c r="H11" s="49" t="inlineStr">
        <is>
          <t>Detailed Steps STEP044</t>
        </is>
      </c>
      <c r="I11" s="49" t="inlineStr">
        <is>
          <t>PASS: corrupt drop logs observed; valid HELLO parse logs preserved; no ghost neighbors; node table stable at 4 nodes.</t>
        </is>
      </c>
      <c r="J11" s="49" t="inlineStr">
        <is>
          <t>Complete</t>
        </is>
      </c>
      <c r="K11" s="49" t="n"/>
      <c r="L11" s="49" t="n"/>
      <c r="M11" s="49" t="n"/>
      <c r="N11" s="49" t="n"/>
      <c r="O11" s="49" t="n"/>
      <c r="P11" s="49" t="n"/>
      <c r="Q11" s="49" t="n"/>
      <c r="R11" s="49" t="n"/>
      <c r="S11" s="49" t="n"/>
      <c r="T11" s="49" t="n"/>
      <c r="U11" s="49" t="n"/>
      <c r="V11" s="49" t="n"/>
      <c r="W11" s="49" t="n"/>
      <c r="X11" s="49" t="n"/>
      <c r="Y11" s="49" t="n"/>
      <c r="Z11" s="49" t="n"/>
    </row>
    <row r="12" s="51">
      <c r="A12" s="49" t="inlineStr">
        <is>
          <t>STEP045A Mesh-Wide Presence Propagation</t>
        </is>
      </c>
      <c r="B12" s="49" t="inlineStr">
        <is>
          <t>Local LoRa MANET discovery propagation</t>
        </is>
      </c>
      <c r="C12" s="49" t="inlineStr">
        <is>
          <t>gatewayA_lora/gatewayB_lora/nodeA1_lora/nodeA2_lora flashed with HELLO relay cache firmware</t>
        </is>
      </c>
      <c r="D12" s="49" t="inlineStr">
        <is>
          <t>Validate gatewayB learned through mesh propagation appears in Android Nodes</t>
        </is>
      </c>
      <c r="E12" s="49" t="inlineStr">
        <is>
          <t>[HELLO_RELAY], [NEIGHBOR_ADD]/[NEIGHBOR_UPDATE], [NODE_LIST_EXPORT], Android Nodes grouping</t>
        </is>
      </c>
      <c r="F12" s="49" t="inlineStr">
        <is>
          <t>PASS: gatewayB appears ONLINE in Android Nodes under Gateway B while nodeA1/gatewayA/nodeA2 remain ONLINE under Gateway A.</t>
        </is>
      </c>
      <c r="G12" s="49" t="inlineStr">
        <is>
          <t>STEP045A discovery propagation path</t>
        </is>
      </c>
      <c r="H12" s="49" t="inlineStr">
        <is>
          <t>Detailed Steps STEP045A</t>
        </is>
      </c>
      <c r="I12" s="49" t="inlineStr">
        <is>
          <t>Physical Android validation PASS after flashing gatewayA, gatewayB, nodeA1, and nodeA2. Android Nodes shows Gateway A: nodeA1 ONLINE, gatewayA ONLINE, nodeA2 ONLINE; Gateway B: gatewayB ONLINE.</t>
        </is>
      </c>
      <c r="J12" s="49" t="inlineStr">
        <is>
          <t>Complete</t>
        </is>
      </c>
      <c r="K12" s="257" t="n"/>
      <c r="L12" s="257" t="n"/>
      <c r="M12" s="257" t="n"/>
      <c r="N12" s="257" t="n"/>
      <c r="O12" s="257" t="n"/>
      <c r="P12" s="257" t="n"/>
      <c r="Q12" s="257" t="n"/>
      <c r="R12" s="257" t="n"/>
      <c r="S12" s="257" t="n"/>
      <c r="T12" s="257" t="n"/>
      <c r="U12" s="257" t="n"/>
      <c r="V12" s="257" t="n"/>
      <c r="W12" s="257" t="n"/>
      <c r="X12" s="257" t="n"/>
      <c r="Y12" s="257" t="n"/>
      <c r="Z12" s="257" t="n"/>
    </row>
    <row r="13" s="51">
      <c r="A13" s="49" t="inlineStr">
        <is>
          <t>STEP045B Android Real-Network Cleanup</t>
        </is>
      </c>
      <c r="B13" s="49" t="inlineStr">
        <is>
          <t>Android live discovered-node UI and Chat destination validation</t>
        </is>
      </c>
      <c r="C13" s="49" t="inlineStr">
        <is>
          <t>Phone connected to ESP32 node; NODE_LIST contains nodeA1, nodeA2, gatewayA, gatewayB</t>
        </is>
      </c>
      <c r="D13" s="49" t="inlineStr">
        <is>
          <t>Validate real node labels, destination selection, local-node exclusion, Chat send destination, and live Route tab state</t>
        </is>
      </c>
      <c r="E13" s="49" t="inlineStr">
        <is>
          <t>Android Nodes/Chat/Route UI; selected discovered destination; Bluetooth SPP send logs</t>
        </is>
      </c>
      <c r="F13" s="49" t="inlineStr">
        <is>
          <t>PASS: physical Android hardware validation accepted STEP045B.</t>
        </is>
      </c>
      <c r="G13" s="49" t="inlineStr">
        <is>
          <t>STEP045B Android cleanup path</t>
        </is>
      </c>
      <c r="H13" s="49" t="inlineStr">
        <is>
          <t>Detailed Steps STEP045B</t>
        </is>
      </c>
      <c r="I13" s="49" t="inlineStr">
        <is>
          <t>STEP045B physical Android hardware validation PASS. Android UI and Chat use live discovered node IDs; Chat destination is selected from discoveredNodes; local connected node is excluded; Route tab shows live LoRa route state when real nodes exist.</t>
        </is>
      </c>
      <c r="J13" s="49" t="inlineStr">
        <is>
          <t>Complete</t>
        </is>
      </c>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dataValidations count="1">
    <dataValidation sqref="H4:H100" showDropDown="0" showInputMessage="0" showErrorMessage="0" allowBlank="0" type="list">
      <formula1>"Not Started,In Progress,Pass,Fail,Blocked"</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8" customWidth="1" style="51" min="1" max="1"/>
    <col width="18" customWidth="1" style="51" min="2" max="2"/>
    <col width="45" customWidth="1" style="51" min="3" max="3"/>
    <col width="36" customWidth="1" style="51" min="4" max="4"/>
    <col width="28" customWidth="1" style="51" min="5" max="5"/>
    <col width="18" customWidth="1" style="51" min="6" max="6"/>
    <col width="24" customWidth="1" style="51" min="7" max="7"/>
    <col width="40" customWidth="1" style="51" min="8" max="8"/>
    <col width="18" customWidth="1" style="51" min="9" max="9"/>
    <col width="18" customWidth="1" style="51" min="10" max="10"/>
    <col width="18" customWidth="1" style="51" min="11" max="11"/>
    <col width="18" customWidth="1" style="51" min="12" max="12"/>
  </cols>
  <sheetData>
    <row r="1">
      <c r="A1" s="44" t="inlineStr">
        <is>
          <t>Progress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Date</t>
        </is>
      </c>
      <c r="B3" s="42" t="inlineStr">
        <is>
          <t>Step ID</t>
        </is>
      </c>
      <c r="C3" s="42" t="inlineStr">
        <is>
          <t>What Was Done</t>
        </is>
      </c>
      <c r="D3" s="42" t="inlineStr">
        <is>
          <t>Result</t>
        </is>
      </c>
      <c r="E3" s="42" t="inlineStr">
        <is>
          <t>Evidence</t>
        </is>
      </c>
      <c r="F3" s="42" t="inlineStr">
        <is>
          <t>Updated By</t>
        </is>
      </c>
      <c r="G3" s="42" t="inlineStr">
        <is>
          <t>Next Step</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69" t="inlineStr">
        <is>
          <t>2026-05-12</t>
        </is>
      </c>
      <c r="B4" s="270" t="inlineStr">
        <is>
          <t>STEP 023</t>
        </is>
      </c>
      <c r="C4" s="269" t="inlineStr">
        <is>
          <t>Completed end-to-end Android to LoRa to Android hardware bridge using two Android phones and two ESP32 LoRa nodes.</t>
        </is>
      </c>
      <c r="D4" s="270" t="inlineStr">
        <is>
          <t>Completed</t>
        </is>
      </c>
      <c r="E4" s="269" t="inlineStr">
        <is>
          <t>NodeA/NodeB terminal logs: BT_RX, LORA_TX BT1 relay, LORA_RX, LORA_PROTOCOL_RX, BT_TX_FROM_LORA; commit 38e7b57.</t>
        </is>
      </c>
      <c r="F4" s="269" t="inlineStr">
        <is>
          <t>Codex + User</t>
        </is>
      </c>
      <c r="G4" s="269" t="inlineStr">
        <is>
          <t>STEP 024 - Raspberry Pi Gateway Integration</t>
        </is>
      </c>
      <c r="H4" s="269" t="inlineStr">
        <is>
          <t>Specific-node messaging validated. Broadcast and GSM remain later workbook work.</t>
        </is>
      </c>
      <c r="I4" s="257" t="n"/>
      <c r="J4" s="257" t="n"/>
      <c r="K4" s="257" t="n"/>
      <c r="L4" s="257" t="n"/>
      <c r="M4" s="257" t="n"/>
      <c r="N4" s="257" t="n"/>
      <c r="O4" s="257" t="n"/>
      <c r="P4" s="257" t="n"/>
      <c r="Q4" s="257" t="n"/>
      <c r="R4" s="257" t="n"/>
      <c r="S4" s="257" t="n"/>
      <c r="T4" s="257" t="n"/>
      <c r="U4" s="257" t="n"/>
      <c r="V4" s="257" t="n"/>
      <c r="W4" s="257" t="n"/>
      <c r="X4" s="257" t="n"/>
      <c r="Y4" s="257" t="n"/>
      <c r="Z4" s="257" t="n"/>
    </row>
    <row r="5">
      <c r="A5" s="269" t="inlineStr">
        <is>
          <t>2026-05-12</t>
        </is>
      </c>
      <c r="B5" s="270" t="inlineStr">
        <is>
          <t>STEP 024</t>
        </is>
      </c>
      <c r="C5" s="269" t="inlineStr">
        <is>
          <t>Created Raspberry Pi gateway simulation baseline in rpi-gateway with six nodes, two gateways, WiFi-router simulated satellite path, buffering, ACK, failover, and recovery.</t>
        </is>
      </c>
      <c r="D5" s="270" t="inlineStr">
        <is>
          <t>Completed - simulation baseline</t>
        </is>
      </c>
      <c r="E5" s="269" t="inlineStr">
        <is>
          <t>python3 run_simulation.py succeeded; python3 -m unittest discover -s tests passed 6 tests; compileall succeeded; commit 6bea5a5.</t>
        </is>
      </c>
      <c r="F5" s="269" t="inlineStr">
        <is>
          <t>Codex</t>
        </is>
      </c>
      <c r="G5" s="269" t="inlineStr">
        <is>
          <t>Next workbook step after Step 024</t>
        </is>
      </c>
      <c r="H5" s="269" t="inlineStr">
        <is>
          <t>No Raspberry Pi SPI/LoRa hardware integration yet; hardware remains later step.</t>
        </is>
      </c>
      <c r="I5" s="257" t="n"/>
      <c r="J5" s="257" t="n"/>
      <c r="K5" s="257" t="n"/>
      <c r="L5" s="257" t="n"/>
      <c r="M5" s="257" t="n"/>
      <c r="N5" s="257" t="n"/>
      <c r="O5" s="257" t="n"/>
      <c r="P5" s="257" t="n"/>
      <c r="Q5" s="257" t="n"/>
      <c r="R5" s="257" t="n"/>
      <c r="S5" s="257" t="n"/>
      <c r="T5" s="257" t="n"/>
      <c r="U5" s="257" t="n"/>
      <c r="V5" s="257" t="n"/>
      <c r="W5" s="257" t="n"/>
      <c r="X5" s="257" t="n"/>
      <c r="Y5" s="257" t="n"/>
      <c r="Z5" s="257" t="n"/>
    </row>
    <row r="6">
      <c r="A6" s="275" t="inlineStr">
        <is>
          <t>2026-05-13</t>
        </is>
      </c>
      <c r="B6" s="276" t="inlineStr">
        <is>
          <t>STEP 023 DEMO APK</t>
        </is>
      </c>
      <c r="C6" s="275" t="inlineStr">
        <is>
          <t>Updated Android demo APK flow and validated physical typed-message demo using two phones, two ESP32 Bluetooth links, and LoRa between NODE_A and NODE_B.</t>
        </is>
      </c>
      <c r="D6" s="276" t="inlineStr">
        <is>
          <t>Completed - demo-ready</t>
        </is>
      </c>
      <c r="E6" s="275" t="inlineStr">
        <is>
          <t>Phone B -&gt; PUP-MANET-NODE_B -&gt; LoRa -&gt; PUP-MANET-NODE_A -&gt; Phone A showed Incoming: message from Phone b; APK built at android-chat-app/demo-apk/PUP-MANET-Messenger-Step023-Demo-debug.apk; commit 03d4cb0.</t>
        </is>
      </c>
      <c r="F6" s="275" t="inlineStr">
        <is>
          <t>Codex + User</t>
        </is>
      </c>
      <c r="G6" s="275" t="inlineStr">
        <is>
          <t>Proceed to next workbook step after demo baseline is accepted.</t>
        </is>
      </c>
      <c r="H6" s="275" t="inlineStr">
        <is>
          <t>Current demo is addressed node-to-node messaging. Broadcast and GSM network behavior are not implemented yet and remain future workbook scope.</t>
        </is>
      </c>
      <c r="I6" s="257" t="n"/>
      <c r="J6" s="257" t="n"/>
      <c r="K6" s="257" t="n"/>
      <c r="L6" s="257" t="n"/>
      <c r="M6" s="257" t="n"/>
      <c r="N6" s="257" t="n"/>
      <c r="O6" s="257" t="n"/>
      <c r="P6" s="257" t="n"/>
      <c r="Q6" s="257" t="n"/>
      <c r="R6" s="257" t="n"/>
      <c r="S6" s="257" t="n"/>
      <c r="T6" s="257" t="n"/>
      <c r="U6" s="257" t="n"/>
      <c r="V6" s="257" t="n"/>
      <c r="W6" s="257" t="n"/>
      <c r="X6" s="257" t="n"/>
      <c r="Y6" s="257" t="n"/>
      <c r="Z6" s="257" t="n"/>
    </row>
    <row r="7">
      <c r="A7" s="275" t="inlineStr">
        <is>
          <t>2026-05-13</t>
        </is>
      </c>
      <c r="B7" s="276" t="inlineStr">
        <is>
          <t>4.2 / STEP 025</t>
        </is>
      </c>
      <c r="C7" s="275" t="inlineStr">
        <is>
          <t>Added Raspberry Pi LoRa SPI hardware abstraction baseline and simulated node heartbeat intake for the gateway layer.</t>
        </is>
      </c>
      <c r="D7" s="276" t="inlineStr">
        <is>
          <t>Completed - HAL baseline</t>
        </is>
      </c>
      <c r="E7" s="275" t="inlineStr">
        <is>
          <t>python3 run_simulation.py --lora-spi-demo received 2 heartbeats; python3 -m unittest discover -s tests passed 8 tests; python3 -m compileall gateway_sim run_simulation.py passed.</t>
        </is>
      </c>
      <c r="F7" s="275" t="inlineStr">
        <is>
          <t>Codex</t>
        </is>
      </c>
      <c r="G7" s="275" t="inlineStr">
        <is>
          <t>Next workbook step after LoRa SPI HAL baseline.</t>
        </is>
      </c>
      <c r="H7" s="275" t="inlineStr">
        <is>
          <t>No real Raspberry Pi SPI/SX1278 driver calls yet. Hardware wiring verification remains later bring-up scope.</t>
        </is>
      </c>
      <c r="I7" s="257" t="n"/>
      <c r="J7" s="257" t="n"/>
      <c r="K7" s="257" t="n"/>
      <c r="L7" s="257" t="n"/>
      <c r="M7" s="257" t="n"/>
      <c r="N7" s="257" t="n"/>
      <c r="O7" s="257" t="n"/>
      <c r="P7" s="257" t="n"/>
      <c r="Q7" s="257" t="n"/>
      <c r="R7" s="257" t="n"/>
      <c r="S7" s="257" t="n"/>
      <c r="T7" s="257" t="n"/>
      <c r="U7" s="257" t="n"/>
      <c r="V7" s="257" t="n"/>
      <c r="W7" s="257" t="n"/>
      <c r="X7" s="257" t="n"/>
      <c r="Y7" s="257" t="n"/>
      <c r="Z7" s="257" t="n"/>
    </row>
    <row r="8">
      <c r="A8" s="275" t="inlineStr">
        <is>
          <t>2026-05-13</t>
        </is>
      </c>
      <c r="B8" s="276" t="inlineStr">
        <is>
          <t>5.1 / STEP 026 Option A</t>
        </is>
      </c>
      <c r="C8" s="275" t="inlineStr">
        <is>
          <t>Added router-to-router link simulation for Gateway A to Gateway B reachability before real router configuration.</t>
        </is>
      </c>
      <c r="D8" s="276" t="inlineStr">
        <is>
          <t>Completed - simulation baseline</t>
        </is>
      </c>
      <c r="E8" s="275" t="inlineStr">
        <is>
          <t>python3 run_simulation.py --router-link-demo showed initial ping OK, remote delivery via GATEWAY_WIFI_ROUTER, link-down ping failure, delivery failure, and recovered ping OK; unittest passed 11 tests; compileall passed.</t>
        </is>
      </c>
      <c r="F8" s="275" t="inlineStr">
        <is>
          <t>Codex</t>
        </is>
      </c>
      <c r="G8" s="275" t="inlineStr">
        <is>
          <t>Proceed to Option B real router hardware ping setup when user is ready.</t>
        </is>
      </c>
      <c r="H8" s="275" t="inlineStr">
        <is>
          <t>No physical router settings changed. Real Raspberry Pi/router ping evidence remains separate hardware verification.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75" t="inlineStr">
        <is>
          <t>2026-05-13</t>
        </is>
      </c>
      <c r="B9" s="276" t="inlineStr">
        <is>
          <t>5.1 / STEP 026 Option B</t>
        </is>
      </c>
      <c r="C9" s="275" t="inlineStr">
        <is>
          <t>Recorded user-confirmed real TP-Link Universal Repeater bridge ping success across the independent 192.168.50.x project network.</t>
        </is>
      </c>
      <c r="D9" s="276" t="inlineStr">
        <is>
          <t>Completed - hardware ping reported</t>
        </is>
      </c>
      <c r="E9" s="275" t="inlineStr">
        <is>
          <t>Mac connected to either MGateway1 or MGateway2 can ping 192.168.50.1, 192.168.50.102, 192.168.50.41, and 192.168.50.42.</t>
        </is>
      </c>
      <c r="F9" s="275" t="inlineStr">
        <is>
          <t>User + Codex</t>
        </is>
      </c>
      <c r="G9" s="275" t="inlineStr">
        <is>
          <t>Proceed to Step 5.2 latency simulation.</t>
        </is>
      </c>
      <c r="H9" s="275" t="inlineStr">
        <is>
          <t>Router B is DHCP/repeater reachable at 192.168.50.102 rather than static 192.168.50.2; this is acceptable for the current bridge test.</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75" t="inlineStr">
        <is>
          <t>2026-05-13</t>
        </is>
      </c>
      <c r="B10" s="276" t="inlineStr">
        <is>
          <t>5.2 / STEP 027</t>
        </is>
      </c>
      <c r="C10" s="275" t="inlineStr">
        <is>
          <t>Added router-link latency simulation and logging for the 500-700 ms target range.</t>
        </is>
      </c>
      <c r="D10" s="276" t="inlineStr">
        <is>
          <t>Completed - simulation baseline</t>
        </is>
      </c>
      <c r="E10" s="275" t="inlineStr">
        <is>
          <t>python3 run_simulation.py --latency-demo measured 600 ms; unittest passed 13 tests; compileall passed.</t>
        </is>
      </c>
      <c r="F10" s="275" t="inlineStr">
        <is>
          <t>Codex</t>
        </is>
      </c>
      <c r="G10" s="275" t="inlineStr">
        <is>
          <t>Proceed to next workbook step 6.1 failover state machine.</t>
        </is>
      </c>
      <c r="H10" s="275" t="inlineStr">
        <is>
          <t>No real tc/netem changes applied to RPIs yet. This remains simulation-safe.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75" t="inlineStr">
        <is>
          <t>2026-05-13</t>
        </is>
      </c>
      <c r="B11" s="276" t="inlineStr">
        <is>
          <t>6.1 / STEP 028</t>
        </is>
      </c>
      <c r="C11" s="275" t="inlineStr">
        <is>
          <t>Added failover state machine simulation for RSSI threshold and ACK-timeout triggers.</t>
        </is>
      </c>
      <c r="D11" s="276" t="inlineStr">
        <is>
          <t>Completed - simulation baseline</t>
        </is>
      </c>
      <c r="E11" s="275" t="inlineStr">
        <is>
          <t>python3 run_simulation.py --failover-demo showed DEGRADED before 10s, FAILOVER_ACTIVE at 10s, and message route GATEWAY_WIFI_ROUTER; unittest passed 17 tests; compileall passed.</t>
        </is>
      </c>
      <c r="F11" s="275" t="inlineStr">
        <is>
          <t>Codex</t>
        </is>
      </c>
      <c r="G11" s="275" t="inlineStr">
        <is>
          <t>Proceed to Step 6.2 store-and-forward buffering.</t>
        </is>
      </c>
      <c r="H11" s="275" t="inlineStr">
        <is>
          <t>No physical RF attenuation or live RPI/LoRa failover test performed yet.</t>
        </is>
      </c>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75" t="inlineStr">
        <is>
          <t>2026-05-13</t>
        </is>
      </c>
      <c r="B12" s="276" t="inlineStr">
        <is>
          <t>6.2 / STEP 029</t>
        </is>
      </c>
      <c r="C12" s="275" t="inlineStr">
        <is>
          <t>Added store-and-forward buffering during router-link outage and ordered flush after recovery.</t>
        </is>
      </c>
      <c r="D12" s="276" t="inlineStr">
        <is>
          <t>Completed - simulation baseline</t>
        </is>
      </c>
      <c r="E12" s="275" t="inlineStr">
        <is>
          <t>python3 run_simulation.py --store-forward-demo buffered 2 packets, preserved order, and flushed to delivery; unittest passed 19 tests; compileall passed.</t>
        </is>
      </c>
      <c r="F12" s="275" t="inlineStr">
        <is>
          <t>Codex</t>
        </is>
      </c>
      <c r="G12" s="275" t="inlineStr">
        <is>
          <t>Proceed to Step 6.3 recovery/reversion.</t>
        </is>
      </c>
      <c r="H12" s="275" t="inlineStr">
        <is>
          <t>No physical router outage or live RPI buffering test performed yet.</t>
        </is>
      </c>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75" t="inlineStr">
        <is>
          <t>2026-05-13</t>
        </is>
      </c>
      <c r="B13" s="276" t="inlineStr">
        <is>
          <t>6.3 / STEP 030</t>
        </is>
      </c>
      <c r="C13" s="275" t="inlineStr">
        <is>
          <t>Added recovery/reversion simulation after stable LoRa recovery window.</t>
        </is>
      </c>
      <c r="D13" s="276" t="inlineStr">
        <is>
          <t>Completed - simulation baseline</t>
        </is>
      </c>
      <c r="E13" s="275" t="inlineStr">
        <is>
          <t>python3 run_simulation.py --recovery-demo restored PRIMARY_LORA after 10 stable seconds and returned route_after_recovery to LOCAL_LORA; unittest passed 21 tests; compileall passed.</t>
        </is>
      </c>
      <c r="F13" s="275" t="inlineStr">
        <is>
          <t>Codex</t>
        </is>
      </c>
      <c r="G13" s="275" t="inlineStr">
        <is>
          <t>Proceed to next workbook step after failover/recovery baseline.</t>
        </is>
      </c>
      <c r="H13" s="275" t="inlineStr">
        <is>
          <t>No physical RF recovery timing test performed yet.</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75" t="inlineStr">
        <is>
          <t>2026-05-13</t>
        </is>
      </c>
      <c r="B14" s="276" t="inlineStr">
        <is>
          <t>7.1 / STEP 031</t>
        </is>
      </c>
      <c r="C14" s="275" t="inlineStr">
        <is>
          <t>Validated existing Android Kotlin app MVP project build without restarting Android development.</t>
        </is>
      </c>
      <c r="D14" s="276" t="inlineStr">
        <is>
          <t>Completed - build validated</t>
        </is>
      </c>
      <c r="E14" s="275" t="inlineStr">
        <is>
          <t>JAVA_HOME="/Applications/Android Studio.app/Contents/jbr/Contents/Home" ./gradlew :app:assembleDebug succeeded; BUILD SUCCESSFUL.</t>
        </is>
      </c>
      <c r="F14" s="275" t="inlineStr">
        <is>
          <t>Codex</t>
        </is>
      </c>
      <c r="G14" s="275" t="inlineStr">
        <is>
          <t>Proceed to Step 7.2 Bluetooth pairing validation/update.</t>
        </is>
      </c>
      <c r="H14" s="275" t="inlineStr">
        <is>
          <t>No Android code changes were required for this validation step.</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75" t="inlineStr">
        <is>
          <t>2026-05-13</t>
        </is>
      </c>
      <c r="B15" s="276" t="inlineStr">
        <is>
          <t>7.2 / STEP 032</t>
        </is>
      </c>
      <c r="C15" s="275" t="inlineStr">
        <is>
          <t>Recorded Bluetooth pairing/live send validation from the existing Android-to-ESP32 hardware demo.</t>
        </is>
      </c>
      <c r="D15" s="276" t="inlineStr">
        <is>
          <t>Completed - hardware demo validated</t>
        </is>
      </c>
      <c r="E15" s="275" t="inlineStr">
        <is>
          <t>Android phones paired with PUP-MANET-NODE_A/B; terminal/screenshot evidence showed Bluetooth messages entering ESP32 and crossing LoRa during Step 023 demo.</t>
        </is>
      </c>
      <c r="F15" s="275" t="inlineStr">
        <is>
          <t>User + Codex</t>
        </is>
      </c>
      <c r="G15" s="275" t="inlineStr">
        <is>
          <t>Proceed to Step 7.3 network selection.</t>
        </is>
      </c>
      <c r="H15" s="275" t="inlineStr">
        <is>
          <t>No new Android code changes or hardware retest performed in this documentation step.</t>
        </is>
      </c>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75" t="inlineStr">
        <is>
          <t>2026-05-13</t>
        </is>
      </c>
      <c r="B16" s="276" t="inlineStr">
        <is>
          <t>7.3 / STEP 033</t>
        </is>
      </c>
      <c r="C16" s="275" t="inlineStr">
        <is>
          <t>Validated existing Android Auto/LoRa/WiFi/GSM network selection UI and routing state.</t>
        </is>
      </c>
      <c r="D16" s="276" t="inlineStr">
        <is>
          <t>Completed - build validated</t>
        </is>
      </c>
      <c r="E16" s="275" t="inlineStr">
        <is>
          <t>MainActivity.kt contains NetworkMode and NetworkSelector; JAVA_HOME="/Applications/Android Studio.app/Contents/jbr/Contents/Home" ./gradlew :app:assembleDebug succeeded.</t>
        </is>
      </c>
      <c r="F16" s="275" t="inlineStr">
        <is>
          <t>Codex</t>
        </is>
      </c>
      <c r="G16" s="275" t="inlineStr">
        <is>
          <t>Proceed to next workbook step.</t>
        </is>
      </c>
      <c r="H16" s="275" t="inlineStr">
        <is>
          <t>No Android source changes were required.</t>
        </is>
      </c>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inlineStr">
        <is>
          <t>2026-05-14</t>
        </is>
      </c>
      <c r="B17" s="258" t="inlineStr">
        <is>
          <t>8.1 / STEP 034 prep</t>
        </is>
      </c>
      <c r="C17" s="258" t="inlineStr">
        <is>
          <t>Updated workbook Step 8.1 and Test Campaign Baseline evidence requirements to include GitHub repository, branch, and commit SHA used during the baseline test.</t>
        </is>
      </c>
      <c r="D17" s="258" t="inlineStr">
        <is>
          <t>Workbook updated; physical baseline test remains pending user evidence.</t>
        </is>
      </c>
      <c r="E17" s="258" t="inlineStr">
        <is>
          <t>docs/codex-task-logs/STEP_034_BASELINE_TEST_GITHUB_EVIDENCE_NOTE.md; docs/workbook/PUP_MANET_Implementation_Workbook.xlsx</t>
        </is>
      </c>
      <c r="F17" s="258" t="inlineStr">
        <is>
          <t>Codex</t>
        </is>
      </c>
      <c r="G17" s="258" t="inlineStr">
        <is>
          <t>Run Step 8.1 baseline physical test and capture screenshots/logs plus GitHub commit evidence.</t>
        </is>
      </c>
      <c r="H17" s="258" t="inlineStr">
        <is>
          <t>GitHub repo: https://github.com/pagibetech/pup-manet-emergency-messaging; record branch and commit SHA used for this test.</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inlineStr">
        <is>
          <t>2026-05-15</t>
        </is>
      </c>
      <c r="B18" s="258" t="inlineStr">
        <is>
          <t>AI WORKFLOW</t>
        </is>
      </c>
      <c r="C18" s="258" t="inlineStr">
        <is>
          <t>Added hybrid low-cost AI workflow memory sheets and current active context for future model switching and recovery.</t>
        </is>
      </c>
      <c r="D18" s="258" t="inlineStr">
        <is>
          <t>Completed - workbook memory structure updated</t>
        </is>
      </c>
      <c r="E18" s="258" t="inlineStr">
        <is>
          <t>AI Stack, AI Router, Active Context Snapshot, AI Session Handoff, Prompt Library, Build Validation Matrix, Environment Snapshot, AI Model Routing Log, Codex Task Log</t>
        </is>
      </c>
      <c r="F18" s="258" t="inlineStr">
        <is>
          <t>Codex</t>
        </is>
      </c>
      <c r="G18" s="258" t="inlineStr">
        <is>
          <t>Run Step 8.1 baseline physical test locally.</t>
        </is>
      </c>
      <c r="H18" s="258" t="inlineStr">
        <is>
          <t>No code changes. Step 8.1 remains pending physical evidence.</t>
        </is>
      </c>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49" t="inlineStr">
        <is>
          <t>2026-05-22</t>
        </is>
      </c>
      <c r="B19" s="49" t="inlineStr">
        <is>
          <t>STEP 035</t>
        </is>
      </c>
      <c r="C19" s="49" t="inlineStr">
        <is>
          <t>Recorded confirmed real end-to-end LoRa message delivery across Phone A, NODE_A ESP32, LoRa RF, NODE_B ESP32, and Phone B.</t>
        </is>
      </c>
      <c r="D19" s="49" t="inlineStr">
        <is>
          <t>Completed / PASS - first confirmed real RF end-to-end messaging milestone</t>
        </is>
      </c>
      <c r="E19" s="49"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F19" s="49" t="inlineStr">
        <is>
          <t>User + Codex</t>
        </is>
      </c>
      <c r="G19" s="49" t="inlineStr">
        <is>
          <t>STEP 036 - Real Chat UI Integration</t>
        </is>
      </c>
      <c r="H19" s="49"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49" t="inlineStr">
        <is>
          <t>2026-05-22</t>
        </is>
      </c>
      <c r="B20" s="49" t="inlineStr">
        <is>
          <t>STEP 036</t>
        </is>
      </c>
      <c r="C20" s="49" t="inlineStr">
        <is>
          <t>Recorded Real Chat UI Integration validation: Chat tab now uses live Bluetooth SPP when connected and displays LoRa-received messages.</t>
        </is>
      </c>
      <c r="D20" s="49" t="inlineStr">
        <is>
          <t>Completed / PASS</t>
        </is>
      </c>
      <c r="E20" s="49"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F20" s="49" t="inlineStr">
        <is>
          <t>User + Codex</t>
        </is>
      </c>
      <c r="G20" s="49" t="inlineStr">
        <is>
          <t>STEP 037 - Multi-Hop Routing Foundation</t>
        </is>
      </c>
      <c r="H20" s="49" t="inlineStr">
        <is>
          <t>Fixed Chat tab simulation fallback issue. Chat Send now bypasses simulation routing when real Bluetooth socket is connected.</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49" t="inlineStr">
        <is>
          <t>2026-05-22</t>
        </is>
      </c>
      <c r="B21" s="49" t="inlineStr">
        <is>
          <t>STEP 037</t>
        </is>
      </c>
      <c r="C21" s="49" t="inlineStr">
        <is>
          <t>Recorded Multi-Hop Routing Foundation validation with hopCount, ttl, and previousHop active while preserving real Chat LoRa delivery.</t>
        </is>
      </c>
      <c r="D21" s="49" t="inlineStr">
        <is>
          <t>Completed / PASS</t>
        </is>
      </c>
      <c r="E21" s="49"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Implementation commit f7e2501.</t>
        </is>
      </c>
      <c r="F21" s="49" t="inlineStr">
        <is>
          <t>User + Codex</t>
        </is>
      </c>
      <c r="G21" s="49" t="inlineStr">
        <is>
          <t>STEP 038 - Real Multi-Hop Relay Validation</t>
        </is>
      </c>
      <c r="H21" s="49" t="inlineStr">
        <is>
          <t>Multi-hop fields are active while the confirmed two-node real Chat LoRa path remains intact.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49" t="inlineStr">
        <is>
          <t>2026-05-23</t>
        </is>
      </c>
      <c r="B22" s="49" t="inlineStr">
        <is>
          <t>ARCHITECTURE UPDATE</t>
        </is>
      </c>
      <c r="C22" s="49" t="inlineStr">
        <is>
          <t>Updated gateway/backhaul design from WiFi router-to-router simulated satellite link to RPi3B Gateway A &lt;-&gt; Tailscale VPN &lt;-&gt; RPi3B Gateway B over LAN/WiFi internet.</t>
        </is>
      </c>
      <c r="D22" s="49" t="inlineStr">
        <is>
          <t>Design direction updated; Tailscale implementation not yet validated</t>
        </is>
      </c>
      <c r="E22" s="49" t="inlineStr">
        <is>
          <t>Workbook + continuity MD files; old router-to-router path marked superseded/historical; STEP038 remains current and STEP039 added as next design milestone.</t>
        </is>
      </c>
      <c r="F22" s="49" t="inlineStr">
        <is>
          <t>User + Codex</t>
        </is>
      </c>
      <c r="G22" s="49" t="inlineStr">
        <is>
          <t>STEP 038 validation remains current; STEP 039 - Raspberry Pi Tailscale Gateway Backhaul Architecture is next design milestone</t>
        </is>
      </c>
      <c r="H22" s="49" t="inlineStr">
        <is>
          <t>Future gateway code must support Tailscale peer IP configuration, message relay API/socket between gateways, store-and-forward queue, link status monitoring, and optional GSM fallback. WiFi routers are local internet access/router/AP devices only, not the inter-network backhaul. GSM/cellular remains optional fallback/backhaul.</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s="51">
      <c r="A23" s="49" t="inlineStr">
        <is>
          <t>2026-05-23</t>
        </is>
      </c>
      <c r="B23" s="49" t="inlineStr">
        <is>
          <t>STEP 039</t>
        </is>
      </c>
      <c r="C23" s="49" t="inlineStr">
        <is>
          <t>Finalized Raspberry Pi Tailscale Gateway Backhaul Architecture with internet/Tailscale as primary gateway transport and long-range LoRa gateway backhaul as backup.</t>
        </is>
      </c>
      <c r="D23" s="49" t="inlineStr">
        <is>
          <t>Architecture finalized / implementation pending</t>
        </is>
      </c>
      <c r="E23" s="49" t="inlineStr">
        <is>
          <t>Raspberry Pi 3B Gateway A &lt;-&gt; Tailscale VPN Tunnel over Internet &lt;-&gt; Raspberry Pi 3B Gateway B; Priority 1: Local LoRa MANET; Priority 2: Tailscale VPN gateway tunnel; Priority 3: Long-range LoRa gateway backup; Priority 4: GSM/cellular optional fallback.; STEP038 stable baseline firmware noted; existing TTL/hopCount/duplicate suppression/Bluetooth bridge/LoRa forwarding remains valid.</t>
        </is>
      </c>
      <c r="F23" s="49" t="inlineStr">
        <is>
          <t>User + Codex</t>
        </is>
      </c>
      <c r="G23" s="49" t="inlineStr">
        <is>
          <t>Implement/validate gateway backhaul only when workbook explicitly allows it</t>
        </is>
      </c>
      <c r="H23" s="49" t="inlineStr">
        <is>
          <t>Internet backhaul is now the primary gateway transport; Tailscale VPN is the primary encrypted tunnel; Ethernet/WiFi internet connectivity is preferred; LoRa-to-LoRa gateway backhaul is backup if internet is unavailable; GSM/cellular remains optional future fallback. Future gateway capabilities: store-and-forward queue; gateway ACK tracking; heartbeat monitoring; peer online detection; automatic reconnect; gateway relay mode; LoRa backup backhaul mode. Future ESP32 firmware will support NODE mode and GATEWAY mode.</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s="51">
      <c r="A24" s="49" t="inlineStr">
        <is>
          <t>2026-05-24</t>
        </is>
      </c>
      <c r="B24" s="49" t="inlineStr">
        <is>
          <t>STEP040B</t>
        </is>
      </c>
      <c r="C24" s="49" t="inlineStr">
        <is>
          <t>Recorded Python Gateway TCP Relay Service validation over Tailscale VPN.</t>
        </is>
      </c>
      <c r="D24" s="49" t="inlineStr">
        <is>
          <t>Completed / PASS</t>
        </is>
      </c>
      <c r="E24" s="49"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F24" s="49" t="inlineStr">
        <is>
          <t>User + Codex</t>
        </is>
      </c>
      <c r="G24" s="49" t="inlineStr">
        <is>
          <t>STEP041 - ESP32-to-Raspberry Pi Serial Bridge Integration</t>
        </is>
      </c>
      <c r="H24" s="49" t="inlineStr">
        <is>
          <t>Python gateway TCP relay successfully transferred JSON messages from Gateway A to Gateway B through Tailscale VPN. Gateway-to-gateway encrypted internet tunnel is operational; heartbeat and ACK behavior worked. Do not mark ESP32 serial integration complete yet.</t>
        </is>
      </c>
      <c r="I24" s="45" t="n"/>
      <c r="J24" s="45" t="n"/>
      <c r="K24" s="45" t="n"/>
      <c r="L24" s="45" t="n"/>
      <c r="M24" s="45" t="n"/>
      <c r="N24" s="45" t="n"/>
      <c r="O24" s="45" t="n"/>
      <c r="P24" s="45" t="n"/>
      <c r="Q24" s="45" t="n"/>
      <c r="R24" s="45" t="n"/>
      <c r="S24" s="45" t="n"/>
      <c r="T24" s="45" t="n"/>
      <c r="U24" s="45" t="n"/>
      <c r="V24" s="45" t="n"/>
      <c r="W24" s="45" t="n"/>
      <c r="X24" s="45" t="n"/>
      <c r="Y24" s="45" t="n"/>
      <c r="Z24" s="45" t="n"/>
    </row>
    <row r="25" s="51">
      <c r="A25" s="258" t="inlineStr">
        <is>
          <t>2026-05-30</t>
        </is>
      </c>
      <c r="B25" s="258" t="inlineStr">
        <is>
          <t>STEP041</t>
        </is>
      </c>
      <c r="C25" s="258" t="inlineStr">
        <is>
          <t>ESP32-to-Raspberry Pi USB Serial Bridge Integration completed and validated end-to-end. Gateway B -&gt; TCP -&gt; Gateway A -&gt; SERIAL_TX -&gt; ESP32 -&gt; GATEWAY_SERIAL_PARSE -&gt; ROUTE_DECISION -&gt; LORA_TX path confirmed.</t>
        </is>
      </c>
      <c r="D25" s="258" t="inlineStr">
        <is>
          <t>PASS</t>
        </is>
      </c>
      <c r="E25" s="258" t="inlineStr">
        <is>
          <t>Gateway A/B serial logs; ESP32 valid=true parse; ROUTE_DECISION; LORA_TX; gateway_service.py backup at raspberry-pi-gateway/gateway_service.py.backup-step041</t>
        </is>
      </c>
      <c r="F25" s="258" t="inlineStr">
        <is>
          <t>User + Codex</t>
        </is>
      </c>
      <c r="G25" s="258" t="inlineStr">
        <is>
          <t>Do not start STEP042 yet</t>
        </is>
      </c>
      <c r="H25" s="258" t="inlineStr">
        <is>
          <t>Bug fix: gateway_service.py ignores non-[GW_JSON] serial lines. Backup preserved at gateway_service.py.backup-step041.</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49" t="inlineStr">
        <is>
          <t>2026-06-04</t>
        </is>
      </c>
      <c r="B26" s="49" t="inlineStr">
        <is>
          <t>STEP042A</t>
        </is>
      </c>
      <c r="C26" s="49" t="inlineStr">
        <is>
          <t>Recorded node discovery export root cause and firmware fix; physical Android acceptance remains pending.</t>
        </is>
      </c>
      <c r="D26" s="49" t="inlineStr">
        <is>
          <t>Fix built / physical acceptance pending</t>
        </is>
      </c>
      <c r="E26"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F26" s="49" t="inlineStr">
        <is>
          <t>User + Codex</t>
        </is>
      </c>
      <c r="G26" s="49" t="inlineStr">
        <is>
          <t>STEP042A physical validation; do not start STEP042B</t>
        </is>
      </c>
      <c r="H26" s="49" t="inlineStr">
        <is>
          <t>Gateway Bluetooth cleanup complete and validated: gatewayA_lora and gatewayB_lora boot with Bluetooth DISABLED; Android Bluetooth scan shows only PUP-MANET-nodeA1 and PUP-MANET-nodeA2, not PUP-MANET-NODE_A or PUP-MANET-NODE_B. Normal MANET nodes keep Bluetooth enabled. STEP042A is not physically accepted yet until nodeA1_lora/nodeA2_lora are flashed and Android NODE_LIST shows count&gt;=2 with nodeA1,A,ONLINE and nodeA2,A,ONLINE. Next validation procedure: Flash nodeA1_lora and nodeA2_lora; power both nodes; wait 60 seconds; connect Phone A to PUP-MANET-nodeA1; connect Phone B to PUP-MANET-nodeA2; press Refresh Nodes; expected Android NODE_LIST count &gt;= 2; expected nodes nodeA1,A,ONLINE and nodeA2,A,ONLINE. Do not start STEP042B messaging yet.</t>
        </is>
      </c>
      <c r="I26" s="45" t="n"/>
      <c r="J26" s="45" t="n"/>
      <c r="K26" s="45" t="n"/>
      <c r="L26" s="45" t="n"/>
      <c r="M26" s="45" t="n"/>
      <c r="N26" s="45" t="n"/>
      <c r="O26" s="45" t="n"/>
      <c r="P26" s="45" t="n"/>
      <c r="Q26" s="45" t="n"/>
      <c r="R26" s="45" t="n"/>
      <c r="S26" s="45" t="n"/>
      <c r="T26" s="45" t="n"/>
      <c r="U26" s="45" t="n"/>
      <c r="V26" s="45" t="n"/>
      <c r="W26" s="45" t="n"/>
      <c r="X26" s="45" t="n"/>
      <c r="Y26" s="45" t="n"/>
      <c r="Z26" s="45" t="n"/>
    </row>
    <row r="27">
      <c r="A27" s="49" t="inlineStr">
        <is>
          <t>2026-06-05</t>
        </is>
      </c>
      <c r="B27" s="49" t="inlineStr">
        <is>
          <t>STEP042A / STEP042B</t>
        </is>
      </c>
      <c r="C27" s="49" t="inlineStr">
        <is>
          <t>Recorded physical validation checkpoint: STEP042A A-side discovery PASS and STEP042B 2-node Android LoRa messaging PASS.</t>
        </is>
      </c>
      <c r="D27" s="49" t="inlineStr">
        <is>
          <t>PASS - limited physical validation</t>
        </is>
      </c>
      <c r="E27" s="49" t="inlineStr">
        <is>
          <t>Flashed/running: gatewayA_lora restored as gatewayA; gatewayB_lora restored as gatewayB; nodeA1_lora as nodeA1; nodeA2_lora as nodeA2. Android discovery shows nodeA1 ONLINE, nodeA2 ONLINE, and gatewayA ONLINE. gatewayB boots/broadcasts HELLO-gatewayB but is not yet visible in Android discovery. nodeA3 has not been flashed or deployed. This is A-side/2-node validation only. Phone A sent "hello from A" and Phone B received it via LoRa on path nodeA1 -&gt; nodeA2. Phone B sent "hello from b" and Phone A received it via LoRa on path nodeA2 -&gt; nodeA1.</t>
        </is>
      </c>
      <c r="F27" s="49" t="inlineStr">
        <is>
          <t>User + Codex</t>
        </is>
      </c>
      <c r="G27" s="49" t="inlineStr">
        <is>
          <t>Investigate gatewayB discovery, then replace hardcoded Android destination mapping with live discovered-node selection</t>
        </is>
      </c>
      <c r="H27" s="49" t="inlineStr">
        <is>
          <t>Temporary Android validation mapping in MainActivity.kt: peerNodeForConnectedEsp32() changed from "nodeA2" -&gt; "nodeA3" to "nodeA2" -&gt; "nodeA1" because nodeA3 has not been deployed. 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I27" s="49" t="n"/>
      <c r="J27" s="49" t="n"/>
      <c r="K27" s="49" t="n"/>
      <c r="L27" s="49" t="n"/>
      <c r="M27" s="49" t="n"/>
      <c r="N27" s="49" t="n"/>
      <c r="O27" s="49" t="n"/>
      <c r="P27" s="49" t="n"/>
      <c r="Q27" s="49" t="n"/>
      <c r="R27" s="49" t="n"/>
      <c r="S27" s="49" t="n"/>
      <c r="T27" s="49" t="n"/>
      <c r="U27" s="49" t="n"/>
      <c r="V27" s="49" t="n"/>
      <c r="W27" s="49" t="n"/>
      <c r="X27" s="49" t="n"/>
      <c r="Y27" s="49" t="n"/>
      <c r="Z27" s="49" t="n"/>
    </row>
    <row r="28">
      <c r="A28" s="49" t="inlineStr">
        <is>
          <t>2026-06-05</t>
        </is>
      </c>
      <c r="B28" s="49" t="inlineStr">
        <is>
          <t>STEP043</t>
        </is>
      </c>
      <c r="C28" s="49" t="inlineStr">
        <is>
          <t>Built LoRa HELLO packet-format fix so gateway HELLO advertisements transmit as BT-MANET JSON.</t>
        </is>
      </c>
      <c r="D28" s="49" t="inlineStr">
        <is>
          <t>Fix built / physical validation pending</t>
        </is>
      </c>
      <c r="E28" s="49" t="inlineStr">
        <is>
          <t>Gateway A transmitted BT1|HELLO-gatewayA-...|gatewayA|BROADCAST|{"gatewayId":"A"}; Gateway B received RF payload but rejected it with [LORA_ERROR] Expected simulation JSON packet from LoRa peer. Fix in esp32-node-platformio/src/main.cpp: sendHelloBroadcast() now sends HELLO over LoRa as serializeProtocolPacket(packet); relayed HELLO packets remain JSON instead of compact BT1; non-HELLO message relay keeps compact BT1 format; discovery logs include [HELLO] discovered &lt;nodeId&gt;. Build PASS: pio run -e gatewayA_lora -e gatewayB_lora; pio run -e nodeA1_lora -e nodeA2_lora.</t>
        </is>
      </c>
      <c r="F28" s="49" t="inlineStr">
        <is>
          <t>Codex</t>
        </is>
      </c>
      <c r="G28" s="49" t="inlineStr">
        <is>
          <t>Physically validate gatewayA &lt;-&gt; gatewayB HELLO discovery</t>
        </is>
      </c>
      <c r="H28" s="49" t="inlineStr">
        <is>
          <t>Physical validation pending: flash gatewayA_lora and gatewayB_lora; confirm Gateway B logs [HELLO] discovered gatewayA; confirm Gateway A logs [HELLO] discovered gatewayB; run STATUS and NEIGHBORS on both ESP32s and confirm both gateway nodes are listed.</t>
        </is>
      </c>
      <c r="I28" s="49" t="n"/>
      <c r="J28" s="49" t="n"/>
      <c r="K28" s="49" t="n"/>
      <c r="L28" s="49" t="n"/>
      <c r="M28" s="49" t="n"/>
      <c r="N28" s="49" t="n"/>
      <c r="O28" s="49" t="n"/>
      <c r="P28" s="49" t="n"/>
      <c r="Q28" s="49" t="n"/>
      <c r="R28" s="49" t="n"/>
      <c r="S28" s="49" t="n"/>
      <c r="T28" s="49" t="n"/>
      <c r="U28" s="49" t="n"/>
      <c r="V28" s="49" t="n"/>
      <c r="W28" s="49" t="n"/>
      <c r="X28" s="49" t="n"/>
      <c r="Y28" s="49" t="n"/>
      <c r="Z28" s="49" t="n"/>
    </row>
    <row r="29">
      <c r="A29" s="49" t="inlineStr">
        <is>
          <t>2026-06-06</t>
        </is>
      </c>
      <c r="B29" s="49" t="inlineStr">
        <is>
          <t>STEP043 correction</t>
        </is>
      </c>
      <c r="C29" s="49" t="inlineStr">
        <is>
          <t>Recorded physical failure of initial JSON-oriented STEP043 fix and built corrected compact BT1 receiver-side HELLO handling.</t>
        </is>
      </c>
      <c r="D29" s="49" t="inlineStr">
        <is>
          <t>Corrected fix built / physical validation pending</t>
        </is>
      </c>
      <c r="E29" s="49" t="inlineStr">
        <is>
          <t>Initial STEP043 JSON-oriented fix failed physical validation. After flashing gatewayA_lora and gatewayB_lora, Gateway A still transmitted compact HELLO frames: [LORA_TX] BT1|HELLO-gatewayA-...|gatewayA|BROADCAST|{"gatewayId":"A"}|... Corrected fix in esp32-node-platformio/src/main.cpp: sendHelloBroadcast() and all LoRa relay TX paths remain compact BT1; compact RX logs [LORA_RELAY_PARSE] valid; parseLoRaRelayPacket() infers HELLO from HELLO-* or BROADCAST + gatewayId; processIncomingLoRaRelayPacket() learns HELLO before duplicate/drop routing and returns immediately for HELLO. Build PASS: pio run -e gatewayA_lora -e gatewayB_lora; pio run -e nodeA1_lora -e nodeA2_lora.</t>
        </is>
      </c>
      <c r="F29" s="49" t="inlineStr">
        <is>
          <t>Codex</t>
        </is>
      </c>
      <c r="G29" s="49" t="inlineStr">
        <is>
          <t>Physically validate corrected compact BT1 gateway HELLO discovery</t>
        </is>
      </c>
      <c r="H29" s="49" t="inlineStr">
        <is>
          <t>Expected physical validation: receiver logs [LORA_RX] payload=BT1|HELLO-..., [LORA_RELAY_PARSE] valid, [DISCOVERY] HELLO from gatewayA gateway=A or gatewayB gateway=B, and [NEIGHBOR_ADD]/[NEIGHBOR_UPDATE]; STATUS and NEIGHBORS list both gateways.</t>
        </is>
      </c>
      <c r="I29" s="49" t="n"/>
      <c r="J29" s="49" t="n"/>
      <c r="K29" s="49" t="n"/>
      <c r="L29" s="49" t="n"/>
      <c r="M29" s="49" t="n"/>
      <c r="N29" s="49" t="n"/>
      <c r="O29" s="49" t="n"/>
      <c r="P29" s="49" t="n"/>
      <c r="Q29" s="49" t="n"/>
      <c r="R29" s="49" t="n"/>
      <c r="S29" s="49" t="n"/>
      <c r="T29" s="49" t="n"/>
      <c r="U29" s="49" t="n"/>
      <c r="V29" s="49" t="n"/>
      <c r="W29" s="49" t="n"/>
      <c r="X29" s="49" t="n"/>
      <c r="Y29" s="49" t="n"/>
      <c r="Z29" s="49" t="n"/>
    </row>
    <row r="30" s="51">
      <c r="A30" s="49" t="inlineStr">
        <is>
          <t>2026-06-06</t>
        </is>
      </c>
      <c r="B30" s="49" t="inlineStr">
        <is>
          <t>STEP044</t>
        </is>
      </c>
      <c r="C30" s="49" t="inlineStr">
        <is>
          <t>Built strict compact BT1 LoRa packet validation to reject malformed/corrupted packets before neighbor learning or routing.</t>
        </is>
      </c>
      <c r="D30" s="49" t="inlineStr">
        <is>
          <t>Completed / PASS</t>
        </is>
      </c>
      <c r="E30" s="49" t="inlineStr">
        <is>
          <t>2026-06-06</t>
        </is>
      </c>
      <c r="F30" s="49" t="inlineStr">
        <is>
          <t>Physical validation PASS after corrective commit 9dba0ef under RF stress with gatewayA, gatewayB, nodeA1, nodeA2.</t>
        </is>
      </c>
      <c r="G30" s="49" t="inlineStr">
        <is>
          <t>No further STEP044 action pending.</t>
        </is>
      </c>
      <c r="H30"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30" s="49" t="n"/>
      <c r="J30" s="49" t="n"/>
      <c r="K30" s="49" t="n"/>
      <c r="L30" s="49" t="n"/>
      <c r="M30" s="49" t="n"/>
      <c r="N30" s="49" t="n"/>
      <c r="O30" s="49" t="n"/>
      <c r="P30" s="49" t="n"/>
      <c r="Q30" s="49" t="n"/>
      <c r="R30" s="49" t="n"/>
      <c r="S30" s="49" t="n"/>
      <c r="T30" s="49" t="n"/>
      <c r="U30" s="49" t="n"/>
      <c r="V30" s="49" t="n"/>
      <c r="W30" s="49" t="n"/>
      <c r="X30" s="49" t="n"/>
      <c r="Y30" s="49" t="n"/>
      <c r="Z30" s="49" t="n"/>
    </row>
    <row r="31" s="51">
      <c r="A31" s="49" t="inlineStr">
        <is>
          <t>2026-06-07</t>
        </is>
      </c>
      <c r="B31" s="49" t="inlineStr">
        <is>
          <t>STEP045A</t>
        </is>
      </c>
      <c r="C31" s="49" t="inlineStr">
        <is>
          <t>Closed out mesh-wide presence propagation after physical Android validation.</t>
        </is>
      </c>
      <c r="D31" s="49" t="inlineStr">
        <is>
          <t>Completed / PASS</t>
        </is>
      </c>
      <c r="E31" s="49"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Physical Android validation PASS after flashing gatewayA, gatewayB, nodeA1, and nodeA2. Android Nodes shows Gateway A: nodeA1 ONLINE, gatewayA ONLINE, nodeA2 ONLINE; Gateway B: gatewayB ONLINE.</t>
        </is>
      </c>
      <c r="F31" s="49" t="inlineStr">
        <is>
          <t>User + Codex</t>
        </is>
      </c>
      <c r="G31" s="49" t="inlineStr">
        <is>
          <t>STEP045B Android Real-Network Cleanup</t>
        </is>
      </c>
      <c r="H31" s="49" t="inlineStr">
        <is>
          <t>Preserve compact BT1 and STEP044 strict corrupt-packet rejection. Do not modify delivery tracking or store-and-forward in the next task.</t>
        </is>
      </c>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s="51">
      <c r="A32" s="49" t="inlineStr">
        <is>
          <t>2026-06-07</t>
        </is>
      </c>
      <c r="B32" s="49" t="inlineStr">
        <is>
          <t>STEP045B</t>
        </is>
      </c>
      <c r="C32" s="49" t="inlineStr">
        <is>
          <t>Closed out Android real-network cleanup after physical hardware validation.</t>
        </is>
      </c>
      <c r="D32" s="49" t="inlineStr">
        <is>
          <t>Completed / PASS</t>
        </is>
      </c>
      <c r="E32" s="49" t="inlineStr">
        <is>
          <t>Android-only cleanup in MainActivity.kt: live destination state from discoveredNodes, hardcoded peer mapping removed from Chat send, fallback destination only when NODE_LIST is empty and labeled fallback, simulation-era labels removed or marked fallback/lab state. STEP045B physical Android hardware validation PASS. Android UI and Chat use live discovered node IDs; Chat destination is selected from discoveredNodes; local connected node is excluded; Route tab shows live LoRa route state when real nodes exist.</t>
        </is>
      </c>
      <c r="F32" s="49" t="inlineStr">
        <is>
          <t>User + Codex</t>
        </is>
      </c>
      <c r="G32" s="49" t="inlineStr">
        <is>
          <t>Continue from next workbook task</t>
        </is>
      </c>
      <c r="H32" s="49" t="inlineStr">
        <is>
          <t>No ESP32 firmware or Raspberry Pi gateway service changes. STEP042C/D not started.</t>
        </is>
      </c>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49" t="inlineStr">
        <is>
          <t>2026-06-07</t>
        </is>
      </c>
      <c r="B33" s="49" t="inlineStr">
        <is>
          <t>STEP046A</t>
        </is>
      </c>
      <c r="C33" s="49" t="inlineStr">
        <is>
          <t>Implemented controlled multi-hop lab mode in ESP32 firmware.</t>
        </is>
      </c>
      <c r="D33" s="49" t="inlineStr">
        <is>
          <t>Implemented / Build PASS</t>
        </is>
      </c>
      <c r="E33" s="49" t="inlineStr">
        <is>
          <t>TEST_FORCE_GATEWAY_ROUTE default 0; lab mode forces nodeA1/nodeA2 traffic through gatewayA/gatewayB; four PlatformIO LoRa builds passed; git diff --check passed.</t>
        </is>
      </c>
      <c r="F33" s="49" t="inlineStr">
        <is>
          <t>Codex</t>
        </is>
      </c>
      <c r="G33" s="49" t="inlineStr">
        <is>
          <t>STEP046A physical lab-mode validation</t>
        </is>
      </c>
      <c r="H33" s="49" t="inlineStr">
        <is>
          <t>Physical validation pending: flash lab-mode firmware with TEST_FORCE_GATEWAY_ROUTE=1 and confirm forced route logs/path both directions.</t>
        </is>
      </c>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10" customWidth="1" style="51" min="3" max="3"/>
    <col width="36" customWidth="1" style="51" min="4" max="4"/>
    <col width="42" customWidth="1" style="51" min="5" max="5"/>
    <col width="36" customWidth="1" style="51" min="6" max="6"/>
    <col width="42" customWidth="1" style="51" min="7" max="7"/>
    <col width="14" customWidth="1" style="51" min="8" max="8"/>
    <col width="36" customWidth="1" style="51" min="9" max="9"/>
  </cols>
  <sheetData>
    <row r="1">
      <c r="A1" s="44" t="inlineStr">
        <is>
          <t>Issue / Troubleshooting Log</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Issue ID</t>
        </is>
      </c>
      <c r="B3" s="42" t="inlineStr">
        <is>
          <t>Date</t>
        </is>
      </c>
      <c r="C3" s="42" t="inlineStr">
        <is>
          <t>Step ID</t>
        </is>
      </c>
      <c r="D3" s="42" t="inlineStr">
        <is>
          <t>Problem</t>
        </is>
      </c>
      <c r="E3" s="42" t="inlineStr">
        <is>
          <t>Error / Symptom</t>
        </is>
      </c>
      <c r="F3" s="42" t="inlineStr">
        <is>
          <t>Root Cause</t>
        </is>
      </c>
      <c r="G3" s="42" t="inlineStr">
        <is>
          <t>Fix Applied</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n"/>
      <c r="B4" s="258" t="n"/>
      <c r="C4" s="258" t="n"/>
      <c r="D4" s="258" t="n"/>
      <c r="E4" s="258" t="n"/>
      <c r="F4" s="258" t="n"/>
      <c r="G4" s="258" t="n"/>
      <c r="H4" s="258" t="n"/>
      <c r="I4" s="258" t="n"/>
      <c r="J4" s="257" t="n"/>
      <c r="K4" s="257" t="n"/>
      <c r="L4" s="257" t="n"/>
      <c r="M4" s="257" t="n"/>
      <c r="N4" s="257" t="n"/>
      <c r="O4" s="257" t="n"/>
      <c r="P4" s="257" t="n"/>
      <c r="Q4" s="257" t="n"/>
      <c r="R4" s="257" t="n"/>
      <c r="S4" s="257" t="n"/>
      <c r="T4" s="257" t="n"/>
      <c r="U4" s="257" t="n"/>
      <c r="V4" s="257" t="n"/>
      <c r="W4" s="257" t="n"/>
      <c r="X4" s="257" t="n"/>
      <c r="Y4" s="257" t="n"/>
      <c r="Z4" s="257" t="n"/>
    </row>
    <row r="5">
      <c r="A5" s="258" t="n"/>
      <c r="B5" s="258" t="n"/>
      <c r="C5" s="258" t="n"/>
      <c r="D5" s="258" t="n"/>
      <c r="E5" s="258" t="n"/>
      <c r="F5" s="258" t="n"/>
      <c r="G5" s="258" t="n"/>
      <c r="H5" s="258" t="n"/>
      <c r="I5" s="258" t="n"/>
      <c r="J5" s="257" t="n"/>
      <c r="K5" s="257" t="n"/>
      <c r="L5" s="257" t="n"/>
      <c r="M5" s="257" t="n"/>
      <c r="N5" s="257" t="n"/>
      <c r="O5" s="257" t="n"/>
      <c r="P5" s="257" t="n"/>
      <c r="Q5" s="257" t="n"/>
      <c r="R5" s="257" t="n"/>
      <c r="S5" s="257" t="n"/>
      <c r="T5" s="257" t="n"/>
      <c r="U5" s="257" t="n"/>
      <c r="V5" s="257" t="n"/>
      <c r="W5" s="257" t="n"/>
      <c r="X5" s="257" t="n"/>
      <c r="Y5" s="257" t="n"/>
      <c r="Z5" s="257" t="n"/>
    </row>
    <row r="6">
      <c r="A6" s="258" t="n"/>
      <c r="B6" s="258" t="n"/>
      <c r="C6" s="258" t="n"/>
      <c r="D6" s="258" t="n"/>
      <c r="E6" s="258" t="n"/>
      <c r="F6" s="258" t="n"/>
      <c r="G6" s="258" t="n"/>
      <c r="H6" s="258" t="n"/>
      <c r="I6" s="258" t="n"/>
      <c r="J6" s="257" t="n"/>
      <c r="K6" s="257" t="n"/>
      <c r="L6" s="257" t="n"/>
      <c r="M6" s="257" t="n"/>
      <c r="N6" s="257" t="n"/>
      <c r="O6" s="257" t="n"/>
      <c r="P6" s="257" t="n"/>
      <c r="Q6" s="257" t="n"/>
      <c r="R6" s="257" t="n"/>
      <c r="S6" s="257" t="n"/>
      <c r="T6" s="257" t="n"/>
      <c r="U6" s="257" t="n"/>
      <c r="V6" s="257" t="n"/>
      <c r="W6" s="257" t="n"/>
      <c r="X6" s="257" t="n"/>
      <c r="Y6" s="257" t="n"/>
      <c r="Z6" s="257" t="n"/>
    </row>
    <row r="7">
      <c r="A7" s="258" t="n"/>
      <c r="B7" s="258" t="n"/>
      <c r="C7" s="258" t="n"/>
      <c r="D7" s="258" t="n"/>
      <c r="E7" s="258" t="n"/>
      <c r="F7" s="258" t="n"/>
      <c r="G7" s="258" t="n"/>
      <c r="H7" s="258" t="n"/>
      <c r="I7" s="258" t="n"/>
      <c r="J7" s="257" t="n"/>
      <c r="K7" s="257" t="n"/>
      <c r="L7" s="257" t="n"/>
      <c r="M7" s="257" t="n"/>
      <c r="N7" s="257" t="n"/>
      <c r="O7" s="257" t="n"/>
      <c r="P7" s="257" t="n"/>
      <c r="Q7" s="257" t="n"/>
      <c r="R7" s="257" t="n"/>
      <c r="S7" s="257" t="n"/>
      <c r="T7" s="257" t="n"/>
      <c r="U7" s="257" t="n"/>
      <c r="V7" s="257" t="n"/>
      <c r="W7" s="257" t="n"/>
      <c r="X7" s="257" t="n"/>
      <c r="Y7" s="257" t="n"/>
      <c r="Z7" s="257" t="n"/>
    </row>
    <row r="8">
      <c r="A8" s="258" t="n"/>
      <c r="B8" s="258" t="n"/>
      <c r="C8" s="258" t="n"/>
      <c r="D8" s="258" t="n"/>
      <c r="E8" s="258" t="n"/>
      <c r="F8" s="258" t="n"/>
      <c r="G8" s="258" t="n"/>
      <c r="H8" s="258" t="n"/>
      <c r="I8" s="258" t="n"/>
      <c r="J8" s="257" t="n"/>
      <c r="K8" s="257" t="n"/>
      <c r="L8" s="257" t="n"/>
      <c r="M8" s="257" t="n"/>
      <c r="N8" s="257" t="n"/>
      <c r="O8" s="257" t="n"/>
      <c r="P8" s="257" t="n"/>
      <c r="Q8" s="257" t="n"/>
      <c r="R8" s="257" t="n"/>
      <c r="S8" s="257" t="n"/>
      <c r="T8" s="257" t="n"/>
      <c r="U8" s="257" t="n"/>
      <c r="V8" s="257" t="n"/>
      <c r="W8" s="257" t="n"/>
      <c r="X8" s="257" t="n"/>
      <c r="Y8" s="257" t="n"/>
      <c r="Z8" s="257" t="n"/>
    </row>
    <row r="9">
      <c r="A9" s="258" t="n"/>
      <c r="B9" s="258" t="n"/>
      <c r="C9" s="258" t="n"/>
      <c r="D9" s="258" t="n"/>
      <c r="E9" s="258" t="n"/>
      <c r="F9" s="258" t="n"/>
      <c r="G9" s="258" t="n"/>
      <c r="H9" s="258" t="n"/>
      <c r="I9" s="258" t="n"/>
      <c r="J9" s="257" t="n"/>
      <c r="K9" s="257" t="n"/>
      <c r="L9" s="257" t="n"/>
      <c r="M9" s="257" t="n"/>
      <c r="N9" s="257" t="n"/>
      <c r="O9" s="257" t="n"/>
      <c r="P9" s="257" t="n"/>
      <c r="Q9" s="257" t="n"/>
      <c r="R9" s="257" t="n"/>
      <c r="S9" s="257" t="n"/>
      <c r="T9" s="257" t="n"/>
      <c r="U9" s="257" t="n"/>
      <c r="V9" s="257" t="n"/>
      <c r="W9" s="257" t="n"/>
      <c r="X9" s="257" t="n"/>
      <c r="Y9" s="257" t="n"/>
      <c r="Z9" s="257" t="n"/>
    </row>
    <row r="10">
      <c r="A10" s="258" t="n"/>
      <c r="B10" s="258" t="n"/>
      <c r="C10" s="258" t="n"/>
      <c r="D10" s="258" t="n"/>
      <c r="E10" s="258" t="n"/>
      <c r="F10" s="258" t="n"/>
      <c r="G10" s="258" t="n"/>
      <c r="H10" s="258" t="n"/>
      <c r="I10" s="258"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8"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8"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8"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8"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8"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8"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8"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8"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8"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8"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8"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8"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8"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8"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8"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8"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8"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8"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8"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8"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8"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8"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8"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8"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8"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8"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8"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8"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8"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8"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8"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8"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8"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8"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8"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8"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8"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8"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8"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8"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00" showDropDown="0" showInputMessage="0" showErrorMessage="0" allowBlank="0" type="list">
      <formula1>"Open,In Progress,Resolved,Deferred"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38" customWidth="1" style="51" min="3" max="3"/>
    <col width="42" customWidth="1" style="51" min="4" max="4"/>
    <col width="34" customWidth="1" style="51" min="5" max="5"/>
    <col width="36" customWidth="1" style="51" min="6" max="6"/>
    <col width="16" customWidth="1" style="51" min="7" max="7"/>
    <col width="36" customWidth="1" style="51" min="8" max="8"/>
  </cols>
  <sheetData>
    <row r="1">
      <c r="A1" s="44" t="inlineStr">
        <is>
          <t>Design Decision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Decision ID</t>
        </is>
      </c>
      <c r="B3" s="42" t="inlineStr">
        <is>
          <t>Date</t>
        </is>
      </c>
      <c r="C3" s="42" t="inlineStr">
        <is>
          <t>Decision</t>
        </is>
      </c>
      <c r="D3" s="42" t="inlineStr">
        <is>
          <t>Reason</t>
        </is>
      </c>
      <c r="E3" s="42" t="inlineStr">
        <is>
          <t>Alternatives Considered</t>
        </is>
      </c>
      <c r="F3" s="42" t="inlineStr">
        <is>
          <t>Impact</t>
        </is>
      </c>
      <c r="G3" s="42" t="inlineStr">
        <is>
          <t>Status</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D1</t>
        </is>
      </c>
      <c r="B4" s="266" t="n">
        <v>46146</v>
      </c>
      <c r="C4" s="258" t="inlineStr">
        <is>
          <t>Use simulation-first workflow</t>
        </is>
      </c>
      <c r="D4" s="258" t="inlineStr">
        <is>
          <t>User has physical nodes but wants to start with simulation</t>
        </is>
      </c>
      <c r="E4" s="258" t="inlineStr">
        <is>
          <t>Hardware-first development</t>
        </is>
      </c>
      <c r="F4" s="258" t="inlineStr">
        <is>
          <t>Reduces debugging risk</t>
        </is>
      </c>
      <c r="G4" s="258" t="inlineStr">
        <is>
          <t>Accepted</t>
        </is>
      </c>
      <c r="H4" s="258" t="str"/>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D2</t>
        </is>
      </c>
      <c r="B5" s="266" t="n">
        <v>46146</v>
      </c>
      <c r="C5" s="258" t="inlineStr">
        <is>
          <t>Start with controlled reliable mesh instead of full AODV</t>
        </is>
      </c>
      <c r="D5" s="258" t="inlineStr">
        <is>
          <t>AODV on LoRa ESP32 is complex and hard to debug initially</t>
        </is>
      </c>
      <c r="E5" s="258" t="inlineStr">
        <is>
          <t>Full AODV immediately</t>
        </is>
      </c>
      <c r="F5" s="258" t="inlineStr">
        <is>
          <t>Faster prototype; can evolve later</t>
        </is>
      </c>
      <c r="G5" s="258" t="inlineStr">
        <is>
          <t>Recommended</t>
        </is>
      </c>
      <c r="H5" s="258" t="str"/>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D3</t>
        </is>
      </c>
      <c r="B6" s="266" t="n">
        <v>46146</v>
      </c>
      <c r="C6" s="258" t="inlineStr">
        <is>
          <t>If destination is not local, route to next network via gateway</t>
        </is>
      </c>
      <c r="D6" s="258" t="inlineStr">
        <is>
          <t>User requirement</t>
        </is>
      </c>
      <c r="E6" s="258" t="inlineStr">
        <is>
          <t>Drop unknown destinations</t>
        </is>
      </c>
      <c r="F6" s="258" t="inlineStr">
        <is>
          <t>Enables Network A to B messaging</t>
        </is>
      </c>
      <c r="G6" s="258" t="inlineStr">
        <is>
          <t>Accepted</t>
        </is>
      </c>
      <c r="H6" s="258" t="str"/>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D4</t>
        </is>
      </c>
      <c r="B7" s="266" t="n">
        <v>46146</v>
      </c>
      <c r="C7" s="258" t="inlineStr">
        <is>
          <t>Develop ESP32 code, then Raspberry Pi gateway, then Android app</t>
        </is>
      </c>
      <c r="D7" s="258" t="inlineStr">
        <is>
          <t>User requested order</t>
        </is>
      </c>
      <c r="E7" s="258" t="inlineStr">
        <is>
          <t>Android first</t>
        </is>
      </c>
      <c r="F7" s="258" t="inlineStr">
        <is>
          <t>Ensures app integrates with stable backend</t>
        </is>
      </c>
      <c r="G7" s="258" t="inlineStr">
        <is>
          <t>Accepted</t>
        </is>
      </c>
      <c r="H7" s="258" t="str"/>
      <c r="I7" s="257" t="n"/>
      <c r="J7" s="257" t="n"/>
      <c r="K7" s="257" t="n"/>
      <c r="L7" s="257" t="n"/>
      <c r="M7" s="257" t="n"/>
      <c r="N7" s="257" t="n"/>
      <c r="O7" s="257" t="n"/>
      <c r="P7" s="257" t="n"/>
      <c r="Q7" s="257" t="n"/>
      <c r="R7" s="257" t="n"/>
      <c r="S7" s="257" t="n"/>
      <c r="T7" s="257" t="n"/>
      <c r="U7" s="257" t="n"/>
      <c r="V7" s="257" t="n"/>
      <c r="W7" s="257" t="n"/>
      <c r="X7" s="257" t="n"/>
      <c r="Y7" s="257" t="n"/>
      <c r="Z7" s="257" t="n"/>
    </row>
    <row r="8">
      <c r="A8" s="258" t="n"/>
      <c r="B8" s="266" t="n"/>
      <c r="C8" s="258" t="n"/>
      <c r="D8" s="258" t="n"/>
      <c r="E8" s="258" t="n"/>
      <c r="F8" s="258" t="n"/>
      <c r="G8" s="258" t="n"/>
      <c r="H8" s="258" t="n"/>
      <c r="I8" s="257" t="n"/>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8" t="inlineStr">
        <is>
          <t>2026-05-05</t>
        </is>
      </c>
      <c r="B10" s="258" t="inlineStr">
        <is>
          <t>Development workflow</t>
        </is>
      </c>
      <c r="C10" s="258" t="inlineStr">
        <is>
          <t>Use Codex Web + GitHub as primary and Codex CLI on Mac as secondary. VS Code optional only.</t>
        </is>
      </c>
      <c r="D10" s="258" t="inlineStr">
        <is>
          <t>User confirmed Codex installed on MacBook Pro M1 Max and wants no VS Code dependency.</t>
        </is>
      </c>
      <c r="E10" s="258" t="inlineStr">
        <is>
          <t>Accepted</t>
        </is>
      </c>
      <c r="F10" s="258" t="inlineStr">
        <is>
          <t>Marvin/Project</t>
        </is>
      </c>
      <c r="G10" s="258" t="inlineStr">
        <is>
          <t>Implementation workbook updated</t>
        </is>
      </c>
      <c r="H10" s="258" t="inlineStr">
        <is>
          <t>Proceed to GitHub repo setup</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System Architecture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c r="A3" s="1" t="n"/>
      <c r="B3" s="1" t="n"/>
      <c r="C3" s="1" t="n"/>
      <c r="D3" s="1" t="n"/>
      <c r="E3" s="1" t="n"/>
      <c r="F3" s="1" t="n"/>
      <c r="I3" s="1" t="n"/>
      <c r="J3" s="1" t="n"/>
      <c r="K3" s="1" t="n"/>
      <c r="L3" s="1" t="n"/>
      <c r="M3" s="1" t="n"/>
      <c r="N3" s="1" t="n"/>
    </row>
    <row r="4" ht="22" customHeight="1" s="51"/>
    <row r="5" ht="22" customHeight="1" s="51">
      <c r="B5" s="1" t="n"/>
      <c r="C5" s="1" t="n"/>
      <c r="D5" s="1" t="n"/>
      <c r="E5" s="1" t="n"/>
      <c r="J5" s="1" t="n"/>
      <c r="K5" s="1" t="n"/>
      <c r="L5" s="1" t="n"/>
      <c r="M5" s="1" t="n"/>
    </row>
    <row r="6" ht="22" customHeight="1" s="51">
      <c r="B6" s="1" t="n"/>
      <c r="C6" s="1" t="n"/>
      <c r="D6" s="1" t="n"/>
      <c r="E6" s="1" t="n"/>
      <c r="J6" s="1" t="n"/>
      <c r="K6" s="1" t="n"/>
      <c r="L6" s="1" t="n"/>
      <c r="M6" s="1" t="n"/>
    </row>
    <row r="7" ht="22" customHeight="1" s="51"/>
    <row r="8" ht="22" customHeight="1" s="51">
      <c r="C8" s="1" t="n"/>
      <c r="D8" s="1" t="n"/>
      <c r="K8" s="1" t="n"/>
      <c r="L8" s="1" t="n"/>
    </row>
    <row r="9" ht="22" customHeight="1" s="51">
      <c r="C9" s="1" t="n"/>
      <c r="D9" s="1" t="n"/>
      <c r="K9" s="1" t="n"/>
      <c r="L9" s="1" t="n"/>
    </row>
    <row r="10" ht="22" customHeight="1" s="51"/>
    <row r="11" ht="22" customHeight="1" s="51">
      <c r="B11" s="1" t="n"/>
      <c r="C11" s="1" t="n"/>
      <c r="D11" s="1" t="n"/>
      <c r="E11" s="1" t="n"/>
      <c r="J11" s="1" t="n"/>
      <c r="K11" s="1" t="n"/>
      <c r="L11" s="1" t="n"/>
      <c r="M11" s="1" t="n"/>
    </row>
    <row r="12" ht="22" customHeight="1" s="51">
      <c r="B12" s="1" t="n"/>
      <c r="C12" s="1" t="n"/>
      <c r="D12" s="1" t="n"/>
      <c r="E12" s="1" t="n"/>
      <c r="J12" s="1" t="n"/>
      <c r="K12" s="1" t="n"/>
      <c r="L12" s="1" t="n"/>
      <c r="M12" s="1" t="n"/>
    </row>
    <row r="13" ht="22" customHeight="1" s="51"/>
    <row r="14" ht="22" customHeight="1" s="51">
      <c r="C14" s="1" t="n"/>
      <c r="D14" s="1" t="n"/>
      <c r="K14" s="1" t="n"/>
      <c r="L14" s="1" t="n"/>
    </row>
    <row r="15" ht="22" customHeight="1" s="51">
      <c r="C15" s="1" t="n"/>
      <c r="D15" s="1" t="n"/>
      <c r="K15" s="1" t="n"/>
      <c r="L15" s="1" t="n"/>
    </row>
    <row r="16" ht="22" customHeight="1" s="51"/>
    <row r="17" ht="22" customHeight="1" s="51"/>
    <row r="18" ht="22" customHeight="1" s="51">
      <c r="B18" s="1" t="n"/>
      <c r="C18" s="1" t="n"/>
      <c r="D18" s="1" t="n"/>
      <c r="E18" s="1" t="n"/>
      <c r="J18" s="1" t="n"/>
      <c r="K18" s="1" t="n"/>
      <c r="L18" s="1" t="n"/>
      <c r="M18" s="1" t="n"/>
    </row>
    <row r="19" ht="22" customHeight="1" s="51">
      <c r="B19" s="1" t="n"/>
      <c r="E19" s="1" t="n"/>
      <c r="J19" s="1" t="n"/>
      <c r="M19" s="1" t="n"/>
    </row>
    <row r="20" ht="22" customHeight="1" s="51">
      <c r="B20" s="1" t="n"/>
      <c r="C20" s="1" t="n"/>
      <c r="D20" s="1" t="n"/>
      <c r="E20" s="1" t="n"/>
      <c r="J20" s="1" t="n"/>
      <c r="K20" s="1" t="n"/>
      <c r="L20" s="1" t="n"/>
      <c r="M20" s="1" t="n"/>
    </row>
    <row r="21" ht="22" customHeight="1" s="51"/>
    <row r="22" ht="22" customHeight="1" s="51"/>
    <row r="23" ht="22" customHeight="1" s="51">
      <c r="B23" s="1" t="n"/>
      <c r="C23" s="1" t="n"/>
      <c r="D23" s="1" t="n"/>
      <c r="E23" s="1" t="n"/>
      <c r="J23" s="1" t="n"/>
      <c r="K23" s="1" t="n"/>
      <c r="L23" s="1" t="n"/>
      <c r="M23" s="1" t="n"/>
    </row>
    <row r="24" ht="22" customHeight="1" s="51">
      <c r="B24" s="1" t="n"/>
      <c r="C24" s="1" t="n"/>
      <c r="D24" s="1" t="n"/>
      <c r="E24" s="1" t="n"/>
      <c r="J24" s="1" t="n"/>
      <c r="K24" s="1" t="n"/>
      <c r="L24" s="1" t="n"/>
      <c r="M24" s="1" t="n"/>
    </row>
    <row r="25" ht="22" customHeight="1" s="51"/>
    <row r="26" ht="22" customHeight="1" s="51">
      <c r="G26" s="1" t="n"/>
      <c r="H26" s="1" t="n"/>
    </row>
    <row r="27" ht="22" customHeight="1" s="51">
      <c r="G27" s="1" t="n"/>
      <c r="H27" s="1" t="n"/>
    </row>
    <row r="28" ht="22" customHeight="1" s="51">
      <c r="G28" s="1" t="n"/>
      <c r="H28" s="1" t="n"/>
    </row>
    <row r="29" ht="22" customHeight="1" s="51"/>
    <row r="30" ht="22" customHeight="1" s="51"/>
    <row r="31" ht="22" customHeight="1" s="51">
      <c r="A31" s="1" t="n"/>
      <c r="B31" s="1" t="n"/>
      <c r="C31" s="1" t="n"/>
      <c r="D31" s="1" t="n"/>
      <c r="E31" s="1" t="n"/>
      <c r="F31" s="1" t="n"/>
      <c r="G31" s="1" t="n"/>
      <c r="H31" s="1" t="n"/>
      <c r="I31" s="1" t="n"/>
      <c r="J31" s="1" t="n"/>
      <c r="K31" s="1" t="n"/>
      <c r="L31" s="1" t="n"/>
      <c r="M31" s="1" t="n"/>
      <c r="N31" s="1" t="n"/>
    </row>
    <row r="32" ht="22" customHeight="1" s="51">
      <c r="B32" s="1" t="n"/>
      <c r="C32" s="1" t="n"/>
      <c r="D32" s="1" t="n"/>
      <c r="E32" s="1" t="n"/>
      <c r="F32" s="1" t="n"/>
      <c r="G32" s="1" t="n"/>
      <c r="H32" s="1" t="n"/>
      <c r="I32" s="1" t="n"/>
      <c r="J32" s="1" t="n"/>
      <c r="K32" s="1" t="n"/>
      <c r="L32" s="1" t="n"/>
      <c r="M32" s="1" t="n"/>
      <c r="N32" s="1" t="n"/>
    </row>
    <row r="33" ht="22" customHeight="1" s="51">
      <c r="B33" s="1" t="n"/>
      <c r="C33" s="1" t="n"/>
      <c r="D33" s="1" t="n"/>
      <c r="E33" s="1" t="n"/>
      <c r="F33" s="1" t="n"/>
      <c r="G33" s="1" t="n"/>
      <c r="H33" s="1" t="n"/>
      <c r="I33" s="1" t="n"/>
      <c r="J33" s="1" t="n"/>
      <c r="K33" s="1" t="n"/>
      <c r="L33" s="1" t="n"/>
      <c r="M33" s="1" t="n"/>
      <c r="N33" s="1" t="n"/>
    </row>
    <row r="34" ht="22" customHeight="1" s="51">
      <c r="B34" s="1" t="n"/>
      <c r="C34" s="1" t="n"/>
      <c r="D34" s="1" t="n"/>
      <c r="E34" s="1" t="n"/>
      <c r="F34" s="1" t="n"/>
      <c r="G34" s="1" t="n"/>
      <c r="H34" s="1" t="n"/>
      <c r="I34" s="1" t="n"/>
      <c r="J34" s="1" t="n"/>
      <c r="K34" s="1" t="n"/>
      <c r="L34" s="1" t="n"/>
      <c r="M34" s="1" t="n"/>
      <c r="N34" s="1" t="n"/>
    </row>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25">
    <mergeCell ref="A31:N31"/>
    <mergeCell ref="I3:N3"/>
    <mergeCell ref="B33:N33"/>
    <mergeCell ref="A3:F3"/>
    <mergeCell ref="K8:L9"/>
    <mergeCell ref="K14:L15"/>
    <mergeCell ref="A1:N1"/>
    <mergeCell ref="C8:D9"/>
    <mergeCell ref="J18:M20"/>
    <mergeCell ref="B23:E24"/>
    <mergeCell ref="B32:N32"/>
    <mergeCell ref="B5:C6"/>
    <mergeCell ref="D5:E6"/>
    <mergeCell ref="L11:M12"/>
    <mergeCell ref="J5:K6"/>
    <mergeCell ref="A2:N2"/>
    <mergeCell ref="C14:D15"/>
    <mergeCell ref="B18:E20"/>
    <mergeCell ref="B11:C12"/>
    <mergeCell ref="D11:E12"/>
    <mergeCell ref="G26:H28"/>
    <mergeCell ref="J11:K12"/>
    <mergeCell ref="L5:M6"/>
    <mergeCell ref="B34:N34"/>
    <mergeCell ref="J23:M24"/>
  </mergeCells>
  <pageMargins left="0.7" right="0.7" top="0.75" bottom="0.75" header="0.3" footer="0.3"/>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N26"/>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Message / Data Flow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row r="4" ht="22" customHeight="1" s="51"/>
    <row r="5" ht="22" customHeight="1" s="51"/>
    <row r="6" ht="22" customHeight="1" s="51"/>
    <row r="7" ht="22" customHeight="1" s="51"/>
    <row r="8" ht="22" customHeight="1" s="51"/>
    <row r="9" ht="22" customHeight="1" s="51"/>
    <row r="10" ht="22" customHeight="1" s="51"/>
    <row r="11" ht="22" customHeight="1" s="51"/>
    <row r="12" ht="22" customHeight="1" s="51">
      <c r="A12" s="1" t="n"/>
      <c r="B12" s="1" t="n"/>
      <c r="C12" s="1" t="n"/>
      <c r="D12" s="1" t="n"/>
      <c r="E12" s="1" t="n"/>
      <c r="F12" s="1" t="n"/>
      <c r="G12" s="1" t="n"/>
      <c r="H12" s="1" t="n"/>
      <c r="I12" s="1" t="n"/>
      <c r="J12" s="1" t="n"/>
      <c r="K12" s="1" t="n"/>
      <c r="L12" s="1" t="n"/>
      <c r="M12" s="1" t="n"/>
      <c r="N12" s="1" t="n"/>
    </row>
    <row r="13" ht="22" customHeight="1" s="51"/>
    <row r="14" ht="22" customHeight="1" s="51">
      <c r="A14" s="1" t="n"/>
      <c r="B14" s="1" t="n"/>
      <c r="D14" s="1" t="n"/>
      <c r="E14" s="1" t="n"/>
      <c r="G14" s="1" t="n"/>
      <c r="H14" s="1" t="n"/>
      <c r="J14" s="1" t="n"/>
      <c r="K14" s="1" t="n"/>
      <c r="M14" s="1" t="n"/>
      <c r="N14" s="1" t="n"/>
    </row>
    <row r="15" ht="22" customHeight="1" s="51">
      <c r="A15" s="1" t="n"/>
      <c r="B15" s="1" t="n"/>
      <c r="D15" s="1" t="n"/>
      <c r="E15" s="1" t="n"/>
      <c r="G15" s="1" t="n"/>
      <c r="H15" s="1" t="n"/>
      <c r="J15" s="1" t="n"/>
      <c r="K15" s="1" t="n"/>
      <c r="M15" s="1" t="n"/>
      <c r="N15" s="1" t="n"/>
    </row>
    <row r="16" ht="22" customHeight="1" s="51">
      <c r="A16" s="1" t="n"/>
      <c r="B16" s="1" t="n"/>
      <c r="D16" s="1" t="n"/>
      <c r="E16" s="1" t="n"/>
      <c r="G16" s="1" t="n"/>
      <c r="H16" s="1" t="n"/>
      <c r="J16" s="1" t="n"/>
      <c r="K16" s="1" t="n"/>
      <c r="M16" s="1" t="n"/>
      <c r="N16" s="1" t="n"/>
    </row>
    <row r="17" ht="22" customHeight="1" s="51"/>
    <row r="18" ht="22" customHeight="1" s="51"/>
    <row r="19" ht="22" customHeight="1" s="51"/>
    <row r="20" ht="22" customHeight="1" s="51">
      <c r="D20" s="1" t="n"/>
      <c r="E20" s="1" t="n"/>
      <c r="G20" s="1" t="n"/>
      <c r="H20" s="1" t="n"/>
      <c r="J20" s="1" t="n"/>
      <c r="K20" s="1" t="n"/>
    </row>
    <row r="21" ht="22" customHeight="1" s="51">
      <c r="D21" s="1" t="n"/>
      <c r="E21" s="1" t="n"/>
      <c r="G21" s="1" t="n"/>
      <c r="H21" s="1" t="n"/>
      <c r="J21" s="1" t="n"/>
      <c r="K21" s="1" t="n"/>
    </row>
    <row r="22" ht="22" customHeight="1" s="51">
      <c r="D22" s="1" t="n"/>
      <c r="E22" s="1" t="n"/>
      <c r="G22" s="1" t="n"/>
      <c r="H22" s="1" t="n"/>
      <c r="J22" s="1" t="n"/>
      <c r="K22" s="1" t="n"/>
    </row>
    <row r="23" ht="22" customHeight="1" s="51"/>
    <row r="24" ht="22" customHeight="1" s="51"/>
    <row r="25" ht="22" customHeight="1" s="51"/>
    <row r="26" ht="22" customHeight="1" s="51">
      <c r="A26" s="1" t="n"/>
      <c r="B26" s="1" t="n"/>
      <c r="C26" s="1" t="n"/>
      <c r="D26" s="1" t="n"/>
      <c r="E26" s="1" t="n"/>
      <c r="F26" s="1" t="n"/>
      <c r="G26" s="1" t="n"/>
      <c r="H26" s="1" t="n"/>
      <c r="I26" s="1" t="n"/>
      <c r="J26" s="1" t="n"/>
      <c r="K26" s="1" t="n"/>
      <c r="L26" s="1" t="n"/>
      <c r="M26" s="1" t="n"/>
      <c r="N26" s="1" t="n"/>
    </row>
    <row r="27" ht="22" customHeight="1" s="51"/>
    <row r="28" ht="22" customHeight="1" s="51"/>
    <row r="29" ht="22" customHeight="1" s="51"/>
    <row r="30" ht="22" customHeight="1" s="51"/>
    <row r="31" ht="22" customHeight="1" s="51"/>
    <row r="32" ht="22" customHeight="1" s="51"/>
    <row r="33" ht="22" customHeight="1" s="51"/>
    <row r="34" ht="22" customHeight="1" s="51"/>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12">
    <mergeCell ref="D20:E22"/>
    <mergeCell ref="A12:N12"/>
    <mergeCell ref="G20:H22"/>
    <mergeCell ref="A14:B16"/>
    <mergeCell ref="G14:H16"/>
    <mergeCell ref="J20:K22"/>
    <mergeCell ref="A26:N26"/>
    <mergeCell ref="A2:N2"/>
    <mergeCell ref="J14:K16"/>
    <mergeCell ref="M14:N16"/>
    <mergeCell ref="D14:E16"/>
    <mergeCell ref="A1:N1"/>
  </mergeCells>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22" customWidth="1" style="51" min="1" max="1"/>
    <col width="20" customWidth="1" style="51" min="2" max="2"/>
    <col width="24" customWidth="1" style="51" min="3" max="3"/>
    <col width="36" customWidth="1" style="51" min="4" max="4"/>
    <col width="30" customWidth="1" style="51" min="5" max="5"/>
    <col width="34" customWidth="1" style="51" min="6" max="6"/>
    <col width="22" customWidth="1" style="51" min="7" max="7"/>
    <col width="28" customWidth="1" style="51" min="8" max="8"/>
    <col width="18" customWidth="1" style="51" min="9" max="9"/>
    <col width="35" customWidth="1" style="51" min="10" max="10"/>
    <col width="34" customWidth="1" style="51" min="11" max="11"/>
  </cols>
  <sheetData>
    <row r="1">
      <c r="A1" s="273" t="inlineStr">
        <is>
          <t>Codex + GitHub Workflow — VS Code Optional</t>
        </is>
      </c>
      <c r="B1" s="1" t="n"/>
      <c r="C1" s="1" t="n"/>
      <c r="D1" s="1" t="n"/>
      <c r="E1" s="1" t="n"/>
      <c r="F1" s="1" t="n"/>
      <c r="G1" s="1" t="n"/>
      <c r="H1" s="1" t="n"/>
      <c r="I1" s="1" t="n"/>
      <c r="J1" s="1" t="n"/>
      <c r="K1" s="1" t="n"/>
    </row>
    <row r="2">
      <c r="A2" s="207" t="n"/>
      <c r="B2" s="49" t="n"/>
      <c r="C2" s="1" t="n"/>
      <c r="D2" s="1" t="n"/>
      <c r="E2" s="1" t="n"/>
      <c r="F2" s="1" t="n"/>
      <c r="G2" s="1" t="n"/>
      <c r="H2" s="1" t="n"/>
      <c r="I2" s="1" t="n"/>
      <c r="J2" s="1" t="n"/>
      <c r="K2" s="1" t="n"/>
    </row>
    <row r="3">
      <c r="A3" s="241" t="inlineStr">
        <is>
          <t>Stage</t>
        </is>
      </c>
      <c r="B3" s="241" t="inlineStr">
        <is>
          <t>Tool</t>
        </is>
      </c>
      <c r="C3" s="241" t="inlineStr">
        <is>
          <t>Where it runs</t>
        </is>
      </c>
      <c r="D3" s="241" t="inlineStr">
        <is>
          <t>Purpose</t>
        </is>
      </c>
      <c r="E3" s="241" t="inlineStr">
        <is>
          <t>Input required</t>
        </is>
      </c>
      <c r="F3" s="241" t="inlineStr">
        <is>
          <t>Output expected</t>
        </is>
      </c>
      <c r="G3" s="241" t="inlineStr">
        <is>
          <t>Who validates</t>
        </is>
      </c>
      <c r="H3" s="241" t="inlineStr">
        <is>
          <t>Workbook update required</t>
        </is>
      </c>
      <c r="I3" s="241" t="inlineStr">
        <is>
          <t>GitHub action</t>
        </is>
      </c>
      <c r="J3" s="241" t="inlineStr">
        <is>
          <t>Pass condition</t>
        </is>
      </c>
      <c r="K3" s="241" t="inlineStr">
        <is>
          <t>Notes</t>
        </is>
      </c>
    </row>
    <row r="4">
      <c r="A4" s="228" t="inlineStr">
        <is>
          <t>0. Baseline repo</t>
        </is>
      </c>
      <c r="B4" s="228" t="inlineStr">
        <is>
          <t>GitHub + Codex Web</t>
        </is>
      </c>
      <c r="C4" s="228" t="inlineStr">
        <is>
          <t>Browser</t>
        </is>
      </c>
      <c r="D4" s="228" t="inlineStr">
        <is>
          <t>Create empty project repository and documentation baseline</t>
        </is>
      </c>
      <c r="E4" s="228" t="inlineStr">
        <is>
          <t>Workbook, diagrams, DOCX test requirements</t>
        </is>
      </c>
      <c r="F4" s="228" t="inlineStr">
        <is>
          <t>Repo with folders, README, AGENTS.md, docs</t>
        </is>
      </c>
      <c r="G4" s="228" t="inlineStr">
        <is>
          <t>User + ChatGPT</t>
        </is>
      </c>
      <c r="H4" s="228" t="inlineStr">
        <is>
          <t>Yes: Repo baseline complete</t>
        </is>
      </c>
      <c r="I4" s="228" t="inlineStr">
        <is>
          <t>Initial commit</t>
        </is>
      </c>
      <c r="J4" s="228" t="inlineStr">
        <is>
          <t>Repo opens and files are visible</t>
        </is>
      </c>
      <c r="K4" s="228" t="inlineStr">
        <is>
          <t>No VS Code required</t>
        </is>
      </c>
    </row>
    <row r="5">
      <c r="A5" s="258" t="inlineStr">
        <is>
          <t>1. Codex instructions</t>
        </is>
      </c>
      <c r="B5" s="258" t="inlineStr">
        <is>
          <t>Codex Web</t>
        </is>
      </c>
      <c r="C5" s="258" t="inlineStr">
        <is>
          <t>Cloud</t>
        </is>
      </c>
      <c r="D5" s="258" t="inlineStr">
        <is>
          <t>Create/verify AGENTS.md so Codex follows workbook and test procedures</t>
        </is>
      </c>
      <c r="E5" s="258" t="inlineStr">
        <is>
          <t>Workbook step number and coding rules</t>
        </is>
      </c>
      <c r="F5" s="258" t="inlineStr">
        <is>
          <t>AGENTS.md with project rules</t>
        </is>
      </c>
      <c r="G5" s="258" t="inlineStr">
        <is>
          <t>User + ChatGPT</t>
        </is>
      </c>
      <c r="H5" s="258" t="inlineStr">
        <is>
          <t>Yes: AGENTS.md approved</t>
        </is>
      </c>
      <c r="I5" s="258" t="inlineStr">
        <is>
          <t>PR or direct commit</t>
        </is>
      </c>
      <c r="J5" s="258" t="inlineStr">
        <is>
          <t>Codex follows scope and does not rewrite unrelated files</t>
        </is>
      </c>
      <c r="K5" s="258" t="inlineStr">
        <is>
          <t>Every Codex task must cite workbook step</t>
        </is>
      </c>
    </row>
    <row r="6">
      <c r="A6" s="258" t="inlineStr">
        <is>
          <t>2. Local Codex CLI setup</t>
        </is>
      </c>
      <c r="B6" s="258" t="inlineStr">
        <is>
          <t>Codex CLI</t>
        </is>
      </c>
      <c r="C6" s="258" t="inlineStr">
        <is>
          <t>MacBook Pro M1 Max terminal</t>
        </is>
      </c>
      <c r="D6" s="258" t="inlineStr">
        <is>
          <t>Allow local repo review and controlled edits without VS Code</t>
        </is>
      </c>
      <c r="E6" s="258" t="inlineStr">
        <is>
          <t>GitHub repo cloned locally</t>
        </is>
      </c>
      <c r="F6" s="258" t="inlineStr">
        <is>
          <t>Codex CLI can read project and propose edits</t>
        </is>
      </c>
      <c r="G6" s="258" t="inlineStr">
        <is>
          <t>User</t>
        </is>
      </c>
      <c r="H6" s="258" t="inlineStr">
        <is>
          <t>Yes: CLI setup evidence</t>
        </is>
      </c>
      <c r="I6" s="258" t="inlineStr">
        <is>
          <t>Optional local branch commit</t>
        </is>
      </c>
      <c r="J6" s="258" t="inlineStr">
        <is>
          <t>codex command runs in repo folder</t>
        </is>
      </c>
      <c r="K6" s="258" t="inlineStr">
        <is>
          <t>Used for local checks/troubleshooting</t>
        </is>
      </c>
    </row>
    <row r="7">
      <c r="A7" s="258" t="inlineStr">
        <is>
          <t>3. ESP32 simulation</t>
        </is>
      </c>
      <c r="B7" s="258" t="inlineStr">
        <is>
          <t>Codex Web or CLI</t>
        </is>
      </c>
      <c r="C7" s="258" t="inlineStr">
        <is>
          <t>GitHub cloud/local Mac</t>
        </is>
      </c>
      <c r="D7" s="258" t="inlineStr">
        <is>
          <t>Create PlatformIO project with simulation mode first</t>
        </is>
      </c>
      <c r="E7" s="258" t="inlineStr">
        <is>
          <t>Step prompt + packet format</t>
        </is>
      </c>
      <c r="F7" s="258" t="inlineStr">
        <is>
          <t>Compilable ESP32 code with simulated LoRa/messages</t>
        </is>
      </c>
      <c r="G7" s="258" t="inlineStr">
        <is>
          <t>User + ChatGPT</t>
        </is>
      </c>
      <c r="H7" s="258" t="inlineStr">
        <is>
          <t>Yes: build result and notes</t>
        </is>
      </c>
      <c r="I7" s="258" t="inlineStr">
        <is>
          <t>PR</t>
        </is>
      </c>
      <c r="J7" s="258" t="inlineStr">
        <is>
          <t>PlatformIO build passes</t>
        </is>
      </c>
      <c r="K7" s="258" t="inlineStr">
        <is>
          <t>Hardware not required yet</t>
        </is>
      </c>
    </row>
    <row r="8">
      <c r="A8" s="258" t="inlineStr">
        <is>
          <t>4. ESP32 LoRa + Bluetooth</t>
        </is>
      </c>
      <c r="B8" s="258" t="inlineStr">
        <is>
          <t>Codex Web or CLI</t>
        </is>
      </c>
      <c r="C8" s="258" t="inlineStr">
        <is>
          <t>GitHub cloud/local Mac</t>
        </is>
      </c>
      <c r="D8" s="258" t="inlineStr">
        <is>
          <t>Add SX1278 LoRa and Android Bluetooth bridge</t>
        </is>
      </c>
      <c r="E8" s="258" t="inlineStr">
        <is>
          <t>Pin map, baud, Bluetooth pairing rules</t>
        </is>
      </c>
      <c r="F8" s="258" t="inlineStr">
        <is>
          <t>Firmware supports phone-to-LoRa bridge</t>
        </is>
      </c>
      <c r="G8" s="258" t="inlineStr">
        <is>
          <t>User hardware test</t>
        </is>
      </c>
      <c r="H8" s="258" t="inlineStr">
        <is>
          <t>Yes: test evidence/screenshots</t>
        </is>
      </c>
      <c r="I8" s="258" t="inlineStr">
        <is>
          <t>PR</t>
        </is>
      </c>
      <c r="J8" s="258" t="inlineStr">
        <is>
          <t>Message sent from Android/serial reaches LoRa packet layer</t>
        </is>
      </c>
      <c r="K8" s="258" t="inlineStr">
        <is>
          <t>Physical Bluetooth/LoRa tested by user</t>
        </is>
      </c>
    </row>
    <row r="9">
      <c r="A9" s="258" t="inlineStr">
        <is>
          <t>5. Raspberry Pi gateway simulation</t>
        </is>
      </c>
      <c r="B9" s="258" t="inlineStr">
        <is>
          <t>Codex Web or CLI</t>
        </is>
      </c>
      <c r="C9" s="258" t="inlineStr">
        <is>
          <t>Cloud/local Mac</t>
        </is>
      </c>
      <c r="D9" s="258" t="inlineStr">
        <is>
          <t>Build Python gateway logic without hardware first</t>
        </is>
      </c>
      <c r="E9" s="258" t="inlineStr">
        <is>
          <t>Packet protocol, failover rules</t>
        </is>
      </c>
      <c r="F9" s="258" t="inlineStr">
        <is>
          <t>Gateway simulator, web dashboard/logs</t>
        </is>
      </c>
      <c r="G9" s="258" t="inlineStr">
        <is>
          <t>User + ChatGPT</t>
        </is>
      </c>
      <c r="H9" s="258" t="inlineStr">
        <is>
          <t>Yes: simulation test result</t>
        </is>
      </c>
      <c r="I9" s="258" t="inlineStr">
        <is>
          <t>PR</t>
        </is>
      </c>
      <c r="J9" s="258" t="inlineStr">
        <is>
          <t>Simulated 6-node traffic passes baseline/degradation/failover</t>
        </is>
      </c>
      <c r="K9" s="258" t="inlineStr">
        <is>
          <t>Python tests can run in Codex</t>
        </is>
      </c>
    </row>
    <row r="10">
      <c r="A10" s="258" t="inlineStr">
        <is>
          <t>6. Raspberry Pi LoRa SPI</t>
        </is>
      </c>
      <c r="B10" s="258" t="inlineStr">
        <is>
          <t>Codex Web or CLI</t>
        </is>
      </c>
      <c r="C10" s="258" t="inlineStr">
        <is>
          <t>Repo + Raspberry Pi hardware</t>
        </is>
      </c>
      <c r="D10" s="258" t="inlineStr">
        <is>
          <t>Add real SX1278 SPI support to gateway</t>
        </is>
      </c>
      <c r="E10" s="258" t="inlineStr">
        <is>
          <t>Wiring/pin map</t>
        </is>
      </c>
      <c r="F10" s="258" t="inlineStr">
        <is>
          <t>Gateway receives LoRa packets from nodes</t>
        </is>
      </c>
      <c r="G10" s="258" t="inlineStr">
        <is>
          <t>User hardware test</t>
        </is>
      </c>
      <c r="H10" s="258" t="inlineStr">
        <is>
          <t>Yes: hardware evidence</t>
        </is>
      </c>
      <c r="I10" s="258" t="inlineStr">
        <is>
          <t>PR</t>
        </is>
      </c>
      <c r="J10" s="258" t="inlineStr">
        <is>
          <t>Pi receives/sends LoRa packet reliably</t>
        </is>
      </c>
      <c r="K10" s="258" t="inlineStr">
        <is>
          <t>Physical test cannot be completed by Codex alone</t>
        </is>
      </c>
    </row>
    <row r="11">
      <c r="A11" s="258" t="inlineStr">
        <is>
          <t>7. Router-to-router simulated satellite</t>
        </is>
      </c>
      <c r="B11" s="258" t="inlineStr">
        <is>
          <t>Codex Web or CLI</t>
        </is>
      </c>
      <c r="C11" s="258" t="inlineStr">
        <is>
          <t>Raspberry Pi + routers</t>
        </is>
      </c>
      <c r="D11" s="258" t="inlineStr">
        <is>
          <t>Implement gateway-to-gateway WiFi path and latency simulation</t>
        </is>
      </c>
      <c r="E11" s="258" t="inlineStr">
        <is>
          <t>Router IPs, network settings</t>
        </is>
      </c>
      <c r="F11" s="258" t="inlineStr">
        <is>
          <t>Inter-gateway message forwarding</t>
        </is>
      </c>
      <c r="G11" s="258" t="inlineStr">
        <is>
          <t>User hardware test</t>
        </is>
      </c>
      <c r="H11" s="258" t="inlineStr">
        <is>
          <t>Yes: latency/log evidence</t>
        </is>
      </c>
      <c r="I11" s="258" t="inlineStr">
        <is>
          <t>PR</t>
        </is>
      </c>
      <c r="J11" s="258" t="inlineStr">
        <is>
          <t>Network A can route message to Network B</t>
        </is>
      </c>
      <c r="K11" s="258" t="inlineStr">
        <is>
          <t>Use WiFi routers to simulate satellite path</t>
        </is>
      </c>
    </row>
    <row r="12">
      <c r="A12" s="258" t="inlineStr">
        <is>
          <t>8. Android app</t>
        </is>
      </c>
      <c r="B12" s="258" t="inlineStr">
        <is>
          <t>Codex Web or CLI</t>
        </is>
      </c>
      <c r="C12" s="258" t="inlineStr">
        <is>
          <t>GitHub cloud/local Mac</t>
        </is>
      </c>
      <c r="D12" s="258" t="inlineStr">
        <is>
          <t>Create Android messaging app</t>
        </is>
      </c>
      <c r="E12" s="258" t="inlineStr">
        <is>
          <t>UI requirements, network modes</t>
        </is>
      </c>
      <c r="F12" s="258" t="inlineStr">
        <is>
          <t>Android Studio project</t>
        </is>
      </c>
      <c r="G12" s="258" t="inlineStr">
        <is>
          <t>User + phone test</t>
        </is>
      </c>
      <c r="H12" s="258" t="inlineStr">
        <is>
          <t>Yes: APK/build/test evidence</t>
        </is>
      </c>
      <c r="I12" s="258" t="inlineStr">
        <is>
          <t>PR</t>
        </is>
      </c>
      <c r="J12" s="258" t="inlineStr">
        <is>
          <t>App builds and can select Auto/WiFi/GSM/LoRa</t>
        </is>
      </c>
      <c r="K12" s="258" t="inlineStr">
        <is>
          <t>Android Studio still used for build/run if needed</t>
        </is>
      </c>
    </row>
    <row r="13">
      <c r="A13" s="258" t="inlineStr">
        <is>
          <t>9. Integrated validation</t>
        </is>
      </c>
      <c r="B13" s="258" t="inlineStr">
        <is>
          <t>Codex + User hardware</t>
        </is>
      </c>
      <c r="C13" s="258" t="inlineStr">
        <is>
          <t>Physical setup</t>
        </is>
      </c>
      <c r="D13" s="258" t="inlineStr">
        <is>
          <t>Run DOCX test campaign</t>
        </is>
      </c>
      <c r="E13" s="258" t="inlineStr">
        <is>
          <t>6 nodes, 2 gateways, 2 routers, phones</t>
        </is>
      </c>
      <c r="F13" s="258" t="inlineStr">
        <is>
          <t>Completed test log and workbook evidence</t>
        </is>
      </c>
      <c r="G13" s="258" t="inlineStr">
        <is>
          <t>User + ChatGPT</t>
        </is>
      </c>
      <c r="H13" s="258" t="inlineStr">
        <is>
          <t>Yes: all test sheets updated</t>
        </is>
      </c>
      <c r="I13" s="258" t="inlineStr">
        <is>
          <t>Final PR/Release tag</t>
        </is>
      </c>
      <c r="J13" s="258" t="inlineStr">
        <is>
          <t>All acceptance criteria passed</t>
        </is>
      </c>
      <c r="K13" s="258" t="inlineStr">
        <is>
          <t>Workbook is final continuation reference</t>
        </is>
      </c>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07" t="n"/>
      <c r="B16" s="274" t="n"/>
      <c r="C16" s="1" t="n"/>
      <c r="D16" s="1" t="n"/>
      <c r="E16" s="1" t="n"/>
      <c r="F16" s="1" t="n"/>
      <c r="G16" s="1" t="n"/>
      <c r="H16" s="1" t="n"/>
      <c r="I16" s="1" t="n"/>
      <c r="J16" s="1" t="n"/>
      <c r="K16" s="1" t="n"/>
    </row>
    <row r="17">
      <c r="A17" s="197" t="n"/>
      <c r="B17" s="258" t="n"/>
      <c r="C17" s="258" t="n"/>
      <c r="D17" s="258" t="n"/>
      <c r="E17" s="258" t="n"/>
      <c r="F17" s="258" t="n"/>
      <c r="G17" s="258" t="n"/>
      <c r="H17" s="258" t="n"/>
      <c r="I17" s="258" t="n"/>
      <c r="J17" s="258" t="n"/>
      <c r="K17" s="258" t="n"/>
    </row>
    <row r="18">
      <c r="A18" s="197" t="n"/>
      <c r="B18" s="258" t="n"/>
      <c r="C18" s="258" t="n"/>
      <c r="D18" s="258" t="n"/>
      <c r="E18" s="258" t="n"/>
      <c r="F18" s="258" t="n"/>
      <c r="G18" s="258" t="n"/>
      <c r="H18" s="258" t="n"/>
      <c r="I18" s="258" t="n"/>
      <c r="J18" s="258" t="n"/>
      <c r="K18" s="258" t="n"/>
    </row>
    <row r="19">
      <c r="A19" s="197" t="n"/>
      <c r="B19" s="258" t="n"/>
      <c r="C19" s="258" t="n"/>
      <c r="D19" s="258" t="n"/>
      <c r="E19" s="258" t="n"/>
      <c r="F19" s="258" t="n"/>
      <c r="G19" s="258" t="n"/>
      <c r="H19" s="258" t="n"/>
      <c r="I19" s="258" t="n"/>
      <c r="J19" s="258" t="n"/>
      <c r="K19" s="258" t="n"/>
    </row>
    <row r="20">
      <c r="A20" s="197" t="n"/>
      <c r="B20" s="258" t="n"/>
      <c r="C20" s="258" t="n"/>
      <c r="D20" s="258" t="n"/>
      <c r="E20" s="258" t="n"/>
      <c r="F20" s="258" t="n"/>
      <c r="G20" s="258" t="n"/>
      <c r="H20" s="258" t="n"/>
      <c r="I20" s="258" t="n"/>
      <c r="J20" s="258" t="n"/>
      <c r="K20" s="258" t="n"/>
    </row>
    <row r="21">
      <c r="A21" s="197" t="n"/>
      <c r="B21" s="258" t="n"/>
      <c r="C21" s="258" t="n"/>
      <c r="D21" s="258" t="n"/>
      <c r="E21" s="258" t="n"/>
      <c r="F21" s="258" t="n"/>
      <c r="G21" s="258" t="n"/>
      <c r="H21" s="258" t="n"/>
      <c r="I21" s="258" t="n"/>
      <c r="J21" s="258" t="n"/>
      <c r="K21" s="258" t="n"/>
    </row>
    <row r="22">
      <c r="A22" s="197" t="n"/>
      <c r="B22" s="258" t="n"/>
      <c r="C22" s="258" t="n"/>
      <c r="D22" s="258" t="n"/>
      <c r="E22" s="258" t="n"/>
      <c r="F22" s="258" t="n"/>
      <c r="G22" s="258" t="n"/>
      <c r="H22" s="258" t="n"/>
      <c r="I22" s="258" t="n"/>
      <c r="J22" s="258" t="n"/>
      <c r="K22" s="258" t="n"/>
    </row>
    <row r="23">
      <c r="A23" s="197"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c r="J61" s="258" t="n"/>
      <c r="K61" s="258" t="n"/>
    </row>
    <row r="62">
      <c r="A62" s="258" t="n"/>
      <c r="B62" s="258" t="n"/>
      <c r="C62" s="258" t="n"/>
      <c r="D62" s="258" t="n"/>
      <c r="E62" s="258" t="n"/>
      <c r="F62" s="258" t="n"/>
      <c r="G62" s="258" t="n"/>
      <c r="H62" s="258" t="n"/>
      <c r="I62" s="258" t="n"/>
      <c r="J62" s="258" t="n"/>
      <c r="K62" s="258" t="n"/>
    </row>
    <row r="63">
      <c r="A63" s="258" t="n"/>
      <c r="B63" s="258" t="n"/>
      <c r="C63" s="258" t="n"/>
      <c r="D63" s="258" t="n"/>
      <c r="E63" s="258" t="n"/>
      <c r="F63" s="258" t="n"/>
      <c r="G63" s="258" t="n"/>
      <c r="H63" s="258" t="n"/>
      <c r="I63" s="258" t="n"/>
      <c r="J63" s="258" t="n"/>
      <c r="K63" s="258" t="n"/>
    </row>
    <row r="64">
      <c r="A64" s="258" t="n"/>
      <c r="B64" s="258" t="n"/>
      <c r="C64" s="258" t="n"/>
      <c r="D64" s="258" t="n"/>
      <c r="E64" s="258" t="n"/>
      <c r="F64" s="258" t="n"/>
      <c r="G64" s="258" t="n"/>
      <c r="H64" s="258" t="n"/>
      <c r="I64" s="258" t="n"/>
      <c r="J64" s="258" t="n"/>
      <c r="K64" s="258" t="n"/>
    </row>
    <row r="65">
      <c r="A65" s="258" t="n"/>
      <c r="B65" s="258" t="n"/>
      <c r="C65" s="258" t="n"/>
      <c r="D65" s="258" t="n"/>
      <c r="E65" s="258" t="n"/>
      <c r="F65" s="258" t="n"/>
      <c r="G65" s="258" t="n"/>
      <c r="H65" s="258" t="n"/>
      <c r="I65" s="258" t="n"/>
      <c r="J65" s="258" t="n"/>
      <c r="K65" s="258" t="n"/>
    </row>
    <row r="66">
      <c r="A66" s="258" t="n"/>
      <c r="B66" s="258" t="n"/>
      <c r="C66" s="258" t="n"/>
      <c r="D66" s="258" t="n"/>
      <c r="E66" s="258" t="n"/>
      <c r="F66" s="258" t="n"/>
      <c r="G66" s="258" t="n"/>
      <c r="H66" s="258" t="n"/>
      <c r="I66" s="258" t="n"/>
      <c r="J66" s="258" t="n"/>
      <c r="K66" s="258" t="n"/>
    </row>
    <row r="67">
      <c r="A67" s="258" t="n"/>
      <c r="B67" s="258" t="n"/>
      <c r="C67" s="258" t="n"/>
      <c r="D67" s="258" t="n"/>
      <c r="E67" s="258" t="n"/>
      <c r="F67" s="258" t="n"/>
      <c r="G67" s="258" t="n"/>
      <c r="H67" s="258" t="n"/>
      <c r="I67" s="258" t="n"/>
      <c r="J67" s="258" t="n"/>
      <c r="K67" s="258" t="n"/>
    </row>
    <row r="68">
      <c r="A68" s="258" t="n"/>
      <c r="B68" s="258" t="n"/>
      <c r="C68" s="258" t="n"/>
      <c r="D68" s="258" t="n"/>
      <c r="E68" s="258" t="n"/>
      <c r="F68" s="258" t="n"/>
      <c r="G68" s="258" t="n"/>
      <c r="H68" s="258" t="n"/>
      <c r="I68" s="258" t="n"/>
      <c r="J68" s="258" t="n"/>
      <c r="K68" s="258" t="n"/>
    </row>
    <row r="69">
      <c r="A69" s="258" t="n"/>
      <c r="B69" s="258" t="n"/>
      <c r="C69" s="258" t="n"/>
      <c r="D69" s="258" t="n"/>
      <c r="E69" s="258" t="n"/>
      <c r="F69" s="258" t="n"/>
      <c r="G69" s="258" t="n"/>
      <c r="H69" s="258" t="n"/>
      <c r="I69" s="258" t="n"/>
      <c r="J69" s="258" t="n"/>
      <c r="K69" s="258" t="n"/>
    </row>
    <row r="70">
      <c r="A70" s="258" t="n"/>
      <c r="B70" s="258" t="n"/>
      <c r="C70" s="258" t="n"/>
      <c r="D70" s="258" t="n"/>
      <c r="E70" s="258" t="n"/>
      <c r="F70" s="258" t="n"/>
      <c r="G70" s="258" t="n"/>
      <c r="H70" s="258" t="n"/>
      <c r="I70" s="258" t="n"/>
      <c r="J70" s="258" t="n"/>
      <c r="K70" s="258" t="n"/>
    </row>
    <row r="71">
      <c r="A71" s="258" t="n"/>
      <c r="B71" s="258" t="n"/>
      <c r="C71" s="258" t="n"/>
      <c r="D71" s="258" t="n"/>
      <c r="E71" s="258" t="n"/>
      <c r="F71" s="258" t="n"/>
      <c r="G71" s="258" t="n"/>
      <c r="H71" s="258" t="n"/>
      <c r="I71" s="258" t="n"/>
      <c r="J71" s="258" t="n"/>
      <c r="K71" s="258" t="n"/>
    </row>
    <row r="72">
      <c r="A72" s="258" t="n"/>
      <c r="B72" s="258" t="n"/>
      <c r="C72" s="258" t="n"/>
      <c r="D72" s="258" t="n"/>
      <c r="E72" s="258" t="n"/>
      <c r="F72" s="258" t="n"/>
      <c r="G72" s="258" t="n"/>
      <c r="H72" s="258" t="n"/>
      <c r="I72" s="258" t="n"/>
      <c r="J72" s="258" t="n"/>
      <c r="K72" s="258" t="n"/>
    </row>
    <row r="73">
      <c r="A73" s="258" t="n"/>
      <c r="B73" s="258" t="n"/>
      <c r="C73" s="258" t="n"/>
      <c r="D73" s="258" t="n"/>
      <c r="E73" s="258" t="n"/>
      <c r="F73" s="258" t="n"/>
      <c r="G73" s="258" t="n"/>
      <c r="H73" s="258" t="n"/>
      <c r="I73" s="258" t="n"/>
      <c r="J73" s="258" t="n"/>
      <c r="K73" s="258" t="n"/>
    </row>
    <row r="74">
      <c r="A74" s="258" t="n"/>
      <c r="B74" s="258" t="n"/>
      <c r="C74" s="258" t="n"/>
      <c r="D74" s="258" t="n"/>
      <c r="E74" s="258" t="n"/>
      <c r="F74" s="258" t="n"/>
      <c r="G74" s="258" t="n"/>
      <c r="H74" s="258" t="n"/>
      <c r="I74" s="258" t="n"/>
      <c r="J74" s="258" t="n"/>
      <c r="K74" s="258" t="n"/>
    </row>
    <row r="75">
      <c r="A75" s="258" t="n"/>
      <c r="B75" s="258" t="n"/>
      <c r="C75" s="258" t="n"/>
      <c r="D75" s="258" t="n"/>
      <c r="E75" s="258" t="n"/>
      <c r="F75" s="258" t="n"/>
      <c r="G75" s="258" t="n"/>
      <c r="H75" s="258" t="n"/>
      <c r="I75" s="258" t="n"/>
      <c r="J75" s="258" t="n"/>
      <c r="K75" s="258" t="n"/>
    </row>
    <row r="76">
      <c r="A76" s="258" t="n"/>
      <c r="B76" s="258" t="n"/>
      <c r="C76" s="258" t="n"/>
      <c r="D76" s="258" t="n"/>
      <c r="E76" s="258" t="n"/>
      <c r="F76" s="258" t="n"/>
      <c r="G76" s="258" t="n"/>
      <c r="H76" s="258" t="n"/>
      <c r="I76" s="258" t="n"/>
      <c r="J76" s="258" t="n"/>
      <c r="K76" s="258" t="n"/>
    </row>
    <row r="77">
      <c r="A77" s="258" t="n"/>
      <c r="B77" s="258" t="n"/>
      <c r="C77" s="258" t="n"/>
      <c r="D77" s="258" t="n"/>
      <c r="E77" s="258" t="n"/>
      <c r="F77" s="258" t="n"/>
      <c r="G77" s="258" t="n"/>
      <c r="H77" s="258" t="n"/>
      <c r="I77" s="258" t="n"/>
      <c r="J77" s="258" t="n"/>
      <c r="K77" s="258" t="n"/>
    </row>
    <row r="78">
      <c r="A78" s="258" t="n"/>
      <c r="B78" s="258" t="n"/>
      <c r="C78" s="258" t="n"/>
      <c r="D78" s="258" t="n"/>
      <c r="E78" s="258" t="n"/>
      <c r="F78" s="258" t="n"/>
      <c r="G78" s="258" t="n"/>
      <c r="H78" s="258" t="n"/>
      <c r="I78" s="258" t="n"/>
      <c r="J78" s="258" t="n"/>
      <c r="K78" s="258" t="n"/>
    </row>
    <row r="79">
      <c r="A79" s="258" t="n"/>
      <c r="B79" s="258" t="n"/>
      <c r="C79" s="258" t="n"/>
      <c r="D79" s="258" t="n"/>
      <c r="E79" s="258" t="n"/>
      <c r="F79" s="258" t="n"/>
      <c r="G79" s="258" t="n"/>
      <c r="H79" s="258" t="n"/>
      <c r="I79" s="258" t="n"/>
      <c r="J79" s="258" t="n"/>
      <c r="K79" s="258" t="n"/>
    </row>
    <row r="80">
      <c r="A80" s="258" t="n"/>
      <c r="B80" s="258" t="n"/>
      <c r="C80" s="258" t="n"/>
      <c r="D80" s="258" t="n"/>
      <c r="E80" s="258" t="n"/>
      <c r="F80" s="258" t="n"/>
      <c r="G80" s="258" t="n"/>
      <c r="H80" s="258" t="n"/>
      <c r="I80" s="258" t="n"/>
      <c r="J80" s="258" t="n"/>
      <c r="K80" s="258" t="n"/>
    </row>
  </sheetData>
  <mergeCells count="3">
    <mergeCell ref="B2:K2"/>
    <mergeCell ref="A1:K1"/>
    <mergeCell ref="B16:K16"/>
  </mergeCells>
  <dataValidations count="1">
    <dataValidation sqref="K5:K1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10" customWidth="1" style="51" min="1" max="1"/>
    <col width="16" customWidth="1" style="51" min="2" max="2"/>
    <col width="18" customWidth="1" style="51" min="3" max="3"/>
    <col width="28" customWidth="1" style="51" min="4" max="4"/>
    <col width="70" customWidth="1" style="51" min="5" max="5"/>
    <col width="32" customWidth="1" style="51" min="6" max="6"/>
    <col width="28" customWidth="1" style="51" min="7" max="7"/>
    <col width="36" customWidth="1" style="51" min="8" max="8"/>
    <col width="28" customWidth="1" style="51" min="9" max="9"/>
  </cols>
  <sheetData>
    <row r="1">
      <c r="A1" s="273" t="inlineStr">
        <is>
          <t>Codex Task Prompts — One Task Per Workbook Step</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Task ID</t>
        </is>
      </c>
      <c r="B3" s="241" t="inlineStr">
        <is>
          <t>Workbook Step</t>
        </is>
      </c>
      <c r="C3" s="241" t="inlineStr">
        <is>
          <t>Use With</t>
        </is>
      </c>
      <c r="D3" s="241" t="inlineStr">
        <is>
          <t>Prompt Title</t>
        </is>
      </c>
      <c r="E3" s="241" t="inlineStr">
        <is>
          <t>Prompt</t>
        </is>
      </c>
      <c r="F3" s="241" t="inlineStr">
        <is>
          <t>Expected Output</t>
        </is>
      </c>
      <c r="G3" s="241" t="inlineStr">
        <is>
          <t>Allowed Files</t>
        </is>
      </c>
      <c r="H3" s="241" t="inlineStr">
        <is>
          <t>Validation</t>
        </is>
      </c>
      <c r="I3" s="241" t="inlineStr">
        <is>
          <t>Workbook Update</t>
        </is>
      </c>
      <c r="J3" s="258" t="n"/>
      <c r="K3" s="258" t="n"/>
    </row>
    <row r="4">
      <c r="A4" s="258" t="inlineStr">
        <is>
          <t>C0</t>
        </is>
      </c>
      <c r="B4" s="258" t="inlineStr">
        <is>
          <t>0.1</t>
        </is>
      </c>
      <c r="C4" s="258" t="inlineStr">
        <is>
          <t>Codex Web</t>
        </is>
      </c>
      <c r="D4" s="258" t="inlineStr">
        <is>
          <t>Create baseline repo</t>
        </is>
      </c>
      <c r="E4" s="258" t="inlineStr">
        <is>
          <t>Create the repository structure for pup-manet-emergency-messaging. Add README.md, AGENTS.md, docs/workbook, docs/diagrams, docs/test-procedures, esp32-node-platformio, rpi-gateway, and android-chat-app folders. Do not implement application code yet.</t>
        </is>
      </c>
      <c r="F4" s="258" t="inlineStr">
        <is>
          <t>Baseline repo structure</t>
        </is>
      </c>
      <c r="G4" s="258" t="inlineStr">
        <is>
          <t>All top-level docs/folders</t>
        </is>
      </c>
      <c r="H4" s="258" t="inlineStr">
        <is>
          <t>Repo opens and README explains workflow</t>
        </is>
      </c>
      <c r="I4" s="258" t="inlineStr">
        <is>
          <t>Mark repo baseline complete</t>
        </is>
      </c>
      <c r="J4" s="258" t="n"/>
      <c r="K4" s="258" t="n"/>
    </row>
    <row r="5">
      <c r="A5" s="258" t="inlineStr">
        <is>
          <t>C1</t>
        </is>
      </c>
      <c r="B5" s="258" t="inlineStr">
        <is>
          <t>1.1</t>
        </is>
      </c>
      <c r="C5" s="258" t="inlineStr">
        <is>
          <t>Codex Web</t>
        </is>
      </c>
      <c r="D5" s="258" t="inlineStr">
        <is>
          <t>Write AGENTS.md</t>
        </is>
      </c>
      <c r="E5" s="258" t="inlineStr">
        <is>
          <t>Create AGENTS.md for this project. Codex must follow the workbook step number, keep ESP32/RPi/Android separate, preserve test procedure alignment, avoid unrelated rewrites, and report validation commands/results.</t>
        </is>
      </c>
      <c r="F5" s="258" t="inlineStr">
        <is>
          <t>AGENTS.md</t>
        </is>
      </c>
      <c r="G5" s="258" t="inlineStr">
        <is>
          <t>AGENTS.md only unless README reference needed</t>
        </is>
      </c>
      <c r="H5" s="258" t="inlineStr">
        <is>
          <t>AGENTS.md includes scope and validation rules</t>
        </is>
      </c>
      <c r="I5" s="258" t="inlineStr">
        <is>
          <t>Mark Codex instruction baseline complete</t>
        </is>
      </c>
      <c r="J5" s="258" t="n"/>
      <c r="K5" s="258" t="n"/>
    </row>
    <row r="6">
      <c r="A6" s="258" t="inlineStr">
        <is>
          <t>C2</t>
        </is>
      </c>
      <c r="B6" s="258" t="inlineStr">
        <is>
          <t>2.1</t>
        </is>
      </c>
      <c r="C6" s="258" t="inlineStr">
        <is>
          <t>Codex CLI</t>
        </is>
      </c>
      <c r="D6" s="258" t="inlineStr">
        <is>
          <t>Inspect repo locally</t>
        </is>
      </c>
      <c r="E6" s="258" t="inlineStr">
        <is>
          <t>Inspect this repository against AGENTS.md and the workbook. Do not modify files. Report missing folders, unclear setup, and recommended next task.</t>
        </is>
      </c>
      <c r="F6" s="258" t="inlineStr">
        <is>
          <t>Review report only</t>
        </is>
      </c>
      <c r="G6" s="258" t="inlineStr">
        <is>
          <t>No file changes</t>
        </is>
      </c>
      <c r="H6" s="258" t="inlineStr">
        <is>
          <t>git status clean after task</t>
        </is>
      </c>
      <c r="I6" s="258" t="inlineStr">
        <is>
          <t>Record local CLI inspection</t>
        </is>
      </c>
      <c r="J6" s="258" t="n"/>
      <c r="K6" s="258" t="n"/>
    </row>
    <row r="7">
      <c r="A7" s="258" t="inlineStr">
        <is>
          <t>C3</t>
        </is>
      </c>
      <c r="B7" s="258" t="inlineStr">
        <is>
          <t>3.1</t>
        </is>
      </c>
      <c r="C7" s="258" t="inlineStr">
        <is>
          <t>Codex Web/CLI</t>
        </is>
      </c>
      <c r="D7" s="258" t="inlineStr">
        <is>
          <t>ESP32 simulation project</t>
        </is>
      </c>
      <c r="E7" s="258" t="inlineStr">
        <is>
          <t>Create the ESP32 PlatformIO project in esp32-node-platformio with simulation mode only. Implement message ID, source, destination, hop count, ACK/retry simulation, and serial logs. Do not add real LoRa hardware code yet.</t>
        </is>
      </c>
      <c r="F7" s="258" t="inlineStr">
        <is>
          <t>Compilable PlatformIO project</t>
        </is>
      </c>
      <c r="G7" s="258" t="inlineStr">
        <is>
          <t>esp32-node-platformio, README section</t>
        </is>
      </c>
      <c r="H7" s="258" t="inlineStr">
        <is>
          <t>PlatformIO build passes</t>
        </is>
      </c>
      <c r="I7" s="258" t="inlineStr">
        <is>
          <t>Record build output</t>
        </is>
      </c>
      <c r="J7" s="258" t="n"/>
      <c r="K7" s="258" t="n"/>
    </row>
    <row r="8">
      <c r="A8" s="258" t="inlineStr">
        <is>
          <t>C4</t>
        </is>
      </c>
      <c r="B8" s="258" t="inlineStr">
        <is>
          <t>4.1</t>
        </is>
      </c>
      <c r="C8" s="258" t="inlineStr">
        <is>
          <t>Codex Web/CLI</t>
        </is>
      </c>
      <c r="D8" s="258" t="inlineStr">
        <is>
          <t>ESP32 LoRa packet layer</t>
        </is>
      </c>
      <c r="E8" s="258" t="inlineStr">
        <is>
          <t>Add SX1278 Ra-02 packet abstraction while preserving simulation mode. Use a hardware interface layer so simulation and physical LoRa can be selected by config. Include RSSI/SNR fields in received packet metadata.</t>
        </is>
      </c>
      <c r="F8" s="258" t="inlineStr">
        <is>
          <t>LoRa abstraction + config</t>
        </is>
      </c>
      <c r="G8" s="258" t="inlineStr">
        <is>
          <t>esp32-node-platformio</t>
        </is>
      </c>
      <c r="H8" s="258" t="inlineStr">
        <is>
          <t>Build passes; simulation still works</t>
        </is>
      </c>
      <c r="I8" s="258" t="inlineStr">
        <is>
          <t>Record build/test result</t>
        </is>
      </c>
      <c r="J8" s="258" t="n"/>
      <c r="K8" s="258" t="n"/>
    </row>
    <row r="9">
      <c r="A9" s="258" t="inlineStr">
        <is>
          <t>C5</t>
        </is>
      </c>
      <c r="B9" s="258" t="inlineStr">
        <is>
          <t>4.2</t>
        </is>
      </c>
      <c r="C9" s="258" t="inlineStr">
        <is>
          <t>Codex Web/CLI</t>
        </is>
      </c>
      <c r="D9" s="258" t="inlineStr">
        <is>
          <t>Bluetooth bridge</t>
        </is>
      </c>
      <c r="E9" s="258" t="inlineStr">
        <is>
          <t>Add Bluetooth serial bridge for Android-to-ESP32 messaging. Preserve existing LoRa/simulation code. Include manual mode support placeholder: AUTO, LORA, WIFI, GSM.</t>
        </is>
      </c>
      <c r="F9" s="258" t="inlineStr">
        <is>
          <t>Bluetooth bridge code</t>
        </is>
      </c>
      <c r="G9" s="258" t="inlineStr">
        <is>
          <t>esp32-node-platformio</t>
        </is>
      </c>
      <c r="H9" s="258" t="inlineStr">
        <is>
          <t>Build passes; serial/Bluetooth message parser test documented</t>
        </is>
      </c>
      <c r="I9" s="258" t="inlineStr">
        <is>
          <t>Record Bluetooth test</t>
        </is>
      </c>
      <c r="J9" s="258" t="n"/>
      <c r="K9" s="258" t="n"/>
    </row>
    <row r="10">
      <c r="A10" s="258" t="inlineStr">
        <is>
          <t>C6</t>
        </is>
      </c>
      <c r="B10" s="258" t="inlineStr">
        <is>
          <t>5.1</t>
        </is>
      </c>
      <c r="C10" s="258" t="inlineStr">
        <is>
          <t>Codex Web/CLI</t>
        </is>
      </c>
      <c r="D10" s="258" t="inlineStr">
        <is>
          <t>RPi gateway simulator</t>
        </is>
      </c>
      <c r="E10" s="258" t="inlineStr">
        <is>
          <t>Create rpi-gateway Python project with simulator for 6 MANET nodes, 2 gateways, and 2 WiFi-router satellite path. Implement routing, message buffer, ACK/retry, failover trigger after 10 seconds, and recovery after 10 seconds.</t>
        </is>
      </c>
      <c r="F10" s="258" t="inlineStr">
        <is>
          <t>Python gateway simulator</t>
        </is>
      </c>
      <c r="G10" s="258" t="inlineStr">
        <is>
          <t>rpi-gateway</t>
        </is>
      </c>
      <c r="H10" s="258" t="inlineStr">
        <is>
          <t>Unit tests/simulation logs pass</t>
        </is>
      </c>
      <c r="I10" s="258" t="inlineStr">
        <is>
          <t>Record simulation result</t>
        </is>
      </c>
      <c r="J10" s="258" t="n"/>
      <c r="K10" s="258" t="n"/>
    </row>
    <row r="11">
      <c r="A11" s="258" t="inlineStr">
        <is>
          <t>C7</t>
        </is>
      </c>
      <c r="B11" s="258" t="inlineStr">
        <is>
          <t>8.1</t>
        </is>
      </c>
      <c r="C11" s="258" t="inlineStr">
        <is>
          <t>Codex Web/CLI</t>
        </is>
      </c>
      <c r="D11" s="258" t="inlineStr">
        <is>
          <t>Android app skeleton</t>
        </is>
      </c>
      <c r="E11" s="258" t="inlineStr">
        <is>
          <t>Create Android app skeleton for messaging. Include screens for chat, node pairing status, and network mode selection: AUTO, WIFI, GSM, LORA. Do not require real Bluetooth/GSM implementation in first task.</t>
        </is>
      </c>
      <c r="F11" s="258" t="inlineStr">
        <is>
          <t>Android project skeleton</t>
        </is>
      </c>
      <c r="G11" s="258" t="inlineStr">
        <is>
          <t>android-chat-app</t>
        </is>
      </c>
      <c r="H11" s="258" t="inlineStr">
        <is>
          <t>Gradle build passes if environment configured</t>
        </is>
      </c>
      <c r="I11" s="258" t="inlineStr">
        <is>
          <t>Record build result</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row>
    <row r="62">
      <c r="A62" s="258" t="n"/>
      <c r="B62" s="258" t="n"/>
      <c r="C62" s="258" t="n"/>
      <c r="D62" s="258" t="n"/>
      <c r="E62" s="258" t="n"/>
      <c r="F62" s="258" t="n"/>
      <c r="G62" s="258" t="n"/>
      <c r="H62" s="258" t="n"/>
      <c r="I62" s="258" t="n"/>
    </row>
    <row r="63">
      <c r="A63" s="258" t="n"/>
      <c r="B63" s="258" t="n"/>
      <c r="C63" s="258" t="n"/>
      <c r="D63" s="258" t="n"/>
      <c r="E63" s="258" t="n"/>
      <c r="F63" s="258" t="n"/>
      <c r="G63" s="258" t="n"/>
      <c r="H63" s="258" t="n"/>
      <c r="I63" s="258" t="n"/>
    </row>
    <row r="64">
      <c r="A64" s="258" t="n"/>
      <c r="B64" s="258" t="n"/>
      <c r="C64" s="258" t="n"/>
      <c r="D64" s="258" t="n"/>
      <c r="E64" s="258" t="n"/>
      <c r="F64" s="258" t="n"/>
      <c r="G64" s="258" t="n"/>
      <c r="H64" s="258" t="n"/>
      <c r="I64" s="258" t="n"/>
    </row>
    <row r="65">
      <c r="A65" s="258" t="n"/>
      <c r="B65" s="258" t="n"/>
      <c r="C65" s="258" t="n"/>
      <c r="D65" s="258" t="n"/>
      <c r="E65" s="258" t="n"/>
      <c r="F65" s="258" t="n"/>
      <c r="G65" s="258" t="n"/>
      <c r="H65" s="258" t="n"/>
      <c r="I65" s="258" t="n"/>
    </row>
    <row r="66">
      <c r="A66" s="258" t="n"/>
      <c r="B66" s="258" t="n"/>
      <c r="C66" s="258" t="n"/>
      <c r="D66" s="258" t="n"/>
      <c r="E66" s="258" t="n"/>
      <c r="F66" s="258" t="n"/>
      <c r="G66" s="258" t="n"/>
      <c r="H66" s="258" t="n"/>
      <c r="I66" s="258" t="n"/>
    </row>
    <row r="67">
      <c r="A67" s="258" t="n"/>
      <c r="B67" s="258" t="n"/>
      <c r="C67" s="258" t="n"/>
      <c r="D67" s="258" t="n"/>
      <c r="E67" s="258" t="n"/>
      <c r="F67" s="258" t="n"/>
      <c r="G67" s="258" t="n"/>
      <c r="H67" s="258" t="n"/>
      <c r="I67" s="258" t="n"/>
    </row>
    <row r="68">
      <c r="A68" s="258" t="n"/>
      <c r="B68" s="258" t="n"/>
      <c r="C68" s="258" t="n"/>
      <c r="D68" s="258" t="n"/>
      <c r="E68" s="258" t="n"/>
      <c r="F68" s="258" t="n"/>
      <c r="G68" s="258" t="n"/>
      <c r="H68" s="258" t="n"/>
      <c r="I68" s="258" t="n"/>
    </row>
    <row r="69">
      <c r="A69" s="258" t="n"/>
      <c r="B69" s="258" t="n"/>
      <c r="C69" s="258" t="n"/>
      <c r="D69" s="258" t="n"/>
      <c r="E69" s="258" t="n"/>
      <c r="F69" s="258" t="n"/>
      <c r="G69" s="258" t="n"/>
      <c r="H69" s="258" t="n"/>
      <c r="I69" s="258" t="n"/>
    </row>
    <row r="70">
      <c r="A70" s="258" t="n"/>
      <c r="B70" s="258" t="n"/>
      <c r="C70" s="258" t="n"/>
      <c r="D70" s="258" t="n"/>
      <c r="E70" s="258" t="n"/>
      <c r="F70" s="258" t="n"/>
      <c r="G70" s="258" t="n"/>
      <c r="H70" s="258" t="n"/>
      <c r="I70" s="258" t="n"/>
    </row>
    <row r="71">
      <c r="A71" s="258" t="n"/>
      <c r="B71" s="258" t="n"/>
      <c r="C71" s="258" t="n"/>
      <c r="D71" s="258" t="n"/>
      <c r="E71" s="258" t="n"/>
      <c r="F71" s="258" t="n"/>
      <c r="G71" s="258" t="n"/>
      <c r="H71" s="258" t="n"/>
      <c r="I71" s="258" t="n"/>
    </row>
    <row r="72">
      <c r="A72" s="258" t="n"/>
      <c r="B72" s="258" t="n"/>
      <c r="C72" s="258" t="n"/>
      <c r="D72" s="258" t="n"/>
      <c r="E72" s="258" t="n"/>
      <c r="F72" s="258" t="n"/>
      <c r="G72" s="258" t="n"/>
      <c r="H72" s="258" t="n"/>
      <c r="I72" s="258" t="n"/>
    </row>
    <row r="73">
      <c r="A73" s="258" t="n"/>
      <c r="B73" s="258" t="n"/>
      <c r="C73" s="258" t="n"/>
      <c r="D73" s="258" t="n"/>
      <c r="E73" s="258" t="n"/>
      <c r="F73" s="258" t="n"/>
      <c r="G73" s="258" t="n"/>
      <c r="H73" s="258" t="n"/>
      <c r="I73" s="258" t="n"/>
    </row>
    <row r="74">
      <c r="A74" s="258" t="n"/>
      <c r="B74" s="258" t="n"/>
      <c r="C74" s="258" t="n"/>
      <c r="D74" s="258" t="n"/>
      <c r="E74" s="258" t="n"/>
      <c r="F74" s="258" t="n"/>
      <c r="G74" s="258" t="n"/>
      <c r="H74" s="258" t="n"/>
      <c r="I74" s="258" t="n"/>
    </row>
    <row r="75">
      <c r="A75" s="258" t="n"/>
      <c r="B75" s="258" t="n"/>
      <c r="C75" s="258" t="n"/>
      <c r="D75" s="258" t="n"/>
      <c r="E75" s="258" t="n"/>
      <c r="F75" s="258" t="n"/>
      <c r="G75" s="258" t="n"/>
      <c r="H75" s="258" t="n"/>
      <c r="I75" s="258" t="n"/>
    </row>
    <row r="76">
      <c r="A76" s="258" t="n"/>
      <c r="B76" s="258" t="n"/>
      <c r="C76" s="258" t="n"/>
      <c r="D76" s="258" t="n"/>
      <c r="E76" s="258" t="n"/>
      <c r="F76" s="258" t="n"/>
      <c r="G76" s="258" t="n"/>
      <c r="H76" s="258" t="n"/>
      <c r="I76" s="258" t="n"/>
    </row>
    <row r="77">
      <c r="A77" s="258" t="n"/>
      <c r="B77" s="258" t="n"/>
      <c r="C77" s="258" t="n"/>
      <c r="D77" s="258" t="n"/>
      <c r="E77" s="258" t="n"/>
      <c r="F77" s="258" t="n"/>
      <c r="G77" s="258" t="n"/>
      <c r="H77" s="258" t="n"/>
      <c r="I77" s="258" t="n"/>
    </row>
    <row r="78">
      <c r="A78" s="258" t="n"/>
      <c r="B78" s="258" t="n"/>
      <c r="C78" s="258" t="n"/>
      <c r="D78" s="258" t="n"/>
      <c r="E78" s="258" t="n"/>
      <c r="F78" s="258" t="n"/>
      <c r="G78" s="258" t="n"/>
      <c r="H78" s="258" t="n"/>
      <c r="I78" s="258" t="n"/>
    </row>
    <row r="79">
      <c r="A79" s="258" t="n"/>
      <c r="B79" s="258" t="n"/>
      <c r="C79" s="258" t="n"/>
      <c r="D79" s="258" t="n"/>
      <c r="E79" s="258" t="n"/>
      <c r="F79" s="258" t="n"/>
      <c r="G79" s="258" t="n"/>
      <c r="H79" s="258" t="n"/>
      <c r="I79" s="258" t="n"/>
    </row>
    <row r="80">
      <c r="A80" s="258" t="n"/>
      <c r="B80" s="258" t="n"/>
      <c r="C80" s="258" t="n"/>
      <c r="D80" s="258" t="n"/>
      <c r="E80" s="258" t="n"/>
      <c r="F80" s="258" t="n"/>
      <c r="G80" s="258" t="n"/>
      <c r="H80" s="258" t="n"/>
      <c r="I80" s="258" t="n"/>
    </row>
  </sheetData>
  <mergeCells count="1">
    <mergeCell ref="A1:I1"/>
  </mergeCells>
  <dataValidations count="1">
    <dataValidation sqref="I4:I10"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K60"/>
  <sheetViews>
    <sheetView workbookViewId="0">
      <selection activeCell="A1" sqref="A1"/>
    </sheetView>
  </sheetViews>
  <sheetFormatPr baseColWidth="8" defaultRowHeight="15"/>
  <cols>
    <col width="30" customWidth="1" style="51" min="1" max="1"/>
    <col width="34" customWidth="1" style="51" min="2" max="2"/>
    <col width="14" customWidth="1" style="51" min="3" max="3"/>
    <col width="22" customWidth="1" style="51" min="4" max="4"/>
    <col width="18" customWidth="1" style="51" min="5" max="5"/>
    <col width="24" customWidth="1" style="51" min="6" max="6"/>
    <col width="42" customWidth="1" style="51" min="7" max="7"/>
    <col width="14" customWidth="1" style="51" min="8" max="8"/>
    <col width="16" customWidth="1" style="51" min="9" max="9"/>
  </cols>
  <sheetData>
    <row r="1">
      <c r="A1" s="273" t="inlineStr">
        <is>
          <t>Repository Structure — Codex/GitHub Source of Truth</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Path</t>
        </is>
      </c>
      <c r="B3" s="241" t="inlineStr">
        <is>
          <t>Purpose</t>
        </is>
      </c>
      <c r="C3" s="241" t="inlineStr">
        <is>
          <t>Owned by</t>
        </is>
      </c>
      <c r="D3" s="241" t="inlineStr">
        <is>
          <t>Generated/Edited by Codex</t>
        </is>
      </c>
      <c r="E3" s="241" t="inlineStr">
        <is>
          <t>Hardware dependent</t>
        </is>
      </c>
      <c r="F3" s="241" t="inlineStr">
        <is>
          <t>Build/Test command</t>
        </is>
      </c>
      <c r="G3" s="241" t="inlineStr">
        <is>
          <t>Notes</t>
        </is>
      </c>
      <c r="H3" s="241" t="inlineStr">
        <is>
          <t>Status</t>
        </is>
      </c>
      <c r="I3" s="241" t="inlineStr">
        <is>
          <t>Last Updated</t>
        </is>
      </c>
      <c r="J3" s="258" t="n"/>
      <c r="K3" s="258" t="n"/>
    </row>
    <row r="4">
      <c r="A4" s="258" t="inlineStr">
        <is>
          <t>/README.md</t>
        </is>
      </c>
      <c r="B4" s="258" t="inlineStr">
        <is>
          <t>Project overview and workflow</t>
        </is>
      </c>
      <c r="C4" s="258" t="inlineStr">
        <is>
          <t>Project</t>
        </is>
      </c>
      <c r="D4" s="258" t="inlineStr">
        <is>
          <t>Yes</t>
        </is>
      </c>
      <c r="E4" s="258" t="inlineStr">
        <is>
          <t>No</t>
        </is>
      </c>
      <c r="F4" s="258" t="inlineStr">
        <is>
          <t>N/A</t>
        </is>
      </c>
      <c r="G4" s="258" t="inlineStr">
        <is>
          <t>Explains Codex-only workflow</t>
        </is>
      </c>
      <c r="H4" s="258" t="inlineStr">
        <is>
          <t>Planned</t>
        </is>
      </c>
      <c r="I4" s="258" t="inlineStr">
        <is>
          <t>2026-05-05</t>
        </is>
      </c>
      <c r="J4" s="258" t="n"/>
      <c r="K4" s="258" t="n"/>
    </row>
    <row r="5">
      <c r="A5" s="258" t="inlineStr">
        <is>
          <t>/AGENTS.md</t>
        </is>
      </c>
      <c r="B5" s="258" t="inlineStr">
        <is>
          <t>Codex operating rules</t>
        </is>
      </c>
      <c r="C5" s="258" t="inlineStr">
        <is>
          <t>Project</t>
        </is>
      </c>
      <c r="D5" s="258" t="inlineStr">
        <is>
          <t>Yes</t>
        </is>
      </c>
      <c r="E5" s="258" t="inlineStr">
        <is>
          <t>No</t>
        </is>
      </c>
      <c r="F5" s="258" t="inlineStr">
        <is>
          <t>N/A</t>
        </is>
      </c>
      <c r="G5" s="258" t="inlineStr">
        <is>
          <t>Must be reviewed before coding</t>
        </is>
      </c>
      <c r="H5" s="258" t="inlineStr">
        <is>
          <t>Planned</t>
        </is>
      </c>
      <c r="I5" s="258" t="inlineStr">
        <is>
          <t>2026-05-05</t>
        </is>
      </c>
      <c r="J5" s="258" t="n"/>
      <c r="K5" s="258" t="n"/>
    </row>
    <row r="6">
      <c r="A6" s="258" t="inlineStr">
        <is>
          <t>/docs/workbook/</t>
        </is>
      </c>
      <c r="B6" s="258" t="inlineStr">
        <is>
          <t>Workbook tracker</t>
        </is>
      </c>
      <c r="C6" s="258" t="inlineStr">
        <is>
          <t>Project</t>
        </is>
      </c>
      <c r="D6" s="258" t="inlineStr">
        <is>
          <t>User/ChatGPT</t>
        </is>
      </c>
      <c r="E6" s="258" t="inlineStr">
        <is>
          <t>No</t>
        </is>
      </c>
      <c r="F6" s="258" t="inlineStr">
        <is>
          <t>N/A</t>
        </is>
      </c>
      <c r="G6" s="258" t="inlineStr">
        <is>
          <t>Updated after each completed step</t>
        </is>
      </c>
      <c r="H6" s="258" t="inlineStr">
        <is>
          <t>Planned</t>
        </is>
      </c>
      <c r="I6" s="258" t="inlineStr">
        <is>
          <t>2026-05-05</t>
        </is>
      </c>
      <c r="J6" s="258" t="n"/>
      <c r="K6" s="258" t="n"/>
    </row>
    <row r="7">
      <c r="A7" s="258" t="inlineStr">
        <is>
          <t>/docs/diagrams/</t>
        </is>
      </c>
      <c r="B7" s="258" t="inlineStr">
        <is>
          <t>System and flow diagrams</t>
        </is>
      </c>
      <c r="C7" s="258" t="inlineStr">
        <is>
          <t>Project</t>
        </is>
      </c>
      <c r="D7" s="258" t="inlineStr">
        <is>
          <t>User/ChatGPT</t>
        </is>
      </c>
      <c r="E7" s="258" t="inlineStr">
        <is>
          <t>No</t>
        </is>
      </c>
      <c r="F7" s="258" t="inlineStr">
        <is>
          <t>N/A</t>
        </is>
      </c>
      <c r="G7" s="258" t="inlineStr">
        <is>
          <t>Test-aligned diagrams</t>
        </is>
      </c>
      <c r="H7" s="258" t="inlineStr">
        <is>
          <t>Planned</t>
        </is>
      </c>
      <c r="I7" s="258" t="inlineStr">
        <is>
          <t>2026-05-05</t>
        </is>
      </c>
      <c r="J7" s="258" t="n"/>
      <c r="K7" s="258" t="n"/>
    </row>
    <row r="8">
      <c r="A8" s="258" t="inlineStr">
        <is>
          <t>/docs/test-procedures/</t>
        </is>
      </c>
      <c r="B8" s="258" t="inlineStr">
        <is>
          <t>DOCX-derived validation references</t>
        </is>
      </c>
      <c r="C8" s="258" t="inlineStr">
        <is>
          <t>Project</t>
        </is>
      </c>
      <c r="D8" s="258" t="inlineStr">
        <is>
          <t>User/ChatGPT</t>
        </is>
      </c>
      <c r="E8" s="258" t="inlineStr">
        <is>
          <t>No</t>
        </is>
      </c>
      <c r="F8" s="258" t="inlineStr">
        <is>
          <t>N/A</t>
        </is>
      </c>
      <c r="G8" s="258" t="inlineStr">
        <is>
          <t>Acceptance criteria live here</t>
        </is>
      </c>
      <c r="H8" s="258" t="inlineStr">
        <is>
          <t>Planned</t>
        </is>
      </c>
      <c r="I8" s="258" t="inlineStr">
        <is>
          <t>2026-05-05</t>
        </is>
      </c>
      <c r="J8" s="258" t="n"/>
      <c r="K8" s="258" t="n"/>
    </row>
    <row r="9">
      <c r="A9" s="258" t="inlineStr">
        <is>
          <t>/esp32-node-platformio/</t>
        </is>
      </c>
      <c r="B9" s="258" t="inlineStr">
        <is>
          <t>ESP32 LoRa/Bluetooth node firmware</t>
        </is>
      </c>
      <c r="C9" s="258" t="inlineStr">
        <is>
          <t>ESP32</t>
        </is>
      </c>
      <c r="D9" s="258" t="inlineStr">
        <is>
          <t>Yes</t>
        </is>
      </c>
      <c r="E9" s="258" t="inlineStr">
        <is>
          <t>Yes</t>
        </is>
      </c>
      <c r="F9" s="258" t="inlineStr">
        <is>
          <t>pio run</t>
        </is>
      </c>
      <c r="G9" s="258" t="inlineStr">
        <is>
          <t>Simulation first, hardware later</t>
        </is>
      </c>
      <c r="H9" s="258" t="inlineStr">
        <is>
          <t>Planned</t>
        </is>
      </c>
      <c r="I9" s="258" t="inlineStr">
        <is>
          <t>2026-05-05</t>
        </is>
      </c>
      <c r="J9" s="258" t="n"/>
      <c r="K9" s="258" t="n"/>
    </row>
    <row r="10">
      <c r="A10" s="258" t="inlineStr">
        <is>
          <t>/rpi-gateway/</t>
        </is>
      </c>
      <c r="B10" s="258" t="inlineStr">
        <is>
          <t>Raspberry Pi gateway service/dashboard</t>
        </is>
      </c>
      <c r="C10" s="258" t="inlineStr">
        <is>
          <t>RPi</t>
        </is>
      </c>
      <c r="D10" s="258" t="inlineStr">
        <is>
          <t>Yes</t>
        </is>
      </c>
      <c r="E10" s="258" t="inlineStr">
        <is>
          <t>Partly</t>
        </is>
      </c>
      <c r="F10" s="258" t="inlineStr">
        <is>
          <t>python -m pytest</t>
        </is>
      </c>
      <c r="G10" s="258" t="inlineStr">
        <is>
          <t>Simulation first, SPI later</t>
        </is>
      </c>
      <c r="H10" s="258" t="inlineStr">
        <is>
          <t>Planned</t>
        </is>
      </c>
      <c r="I10" s="258" t="inlineStr">
        <is>
          <t>2026-05-05</t>
        </is>
      </c>
      <c r="J10" s="258" t="n"/>
      <c r="K10" s="258" t="n"/>
    </row>
    <row r="11">
      <c r="A11" s="258" t="inlineStr">
        <is>
          <t>/android-chat-app/</t>
        </is>
      </c>
      <c r="B11" s="258" t="inlineStr">
        <is>
          <t>Android messaging app</t>
        </is>
      </c>
      <c r="C11" s="258" t="inlineStr">
        <is>
          <t>Android</t>
        </is>
      </c>
      <c r="D11" s="258" t="inlineStr">
        <is>
          <t>Yes</t>
        </is>
      </c>
      <c r="E11" s="258" t="inlineStr">
        <is>
          <t>Partly</t>
        </is>
      </c>
      <c r="F11" s="258" t="inlineStr">
        <is>
          <t>./gradlew build</t>
        </is>
      </c>
      <c r="G11" s="258" t="inlineStr">
        <is>
          <t>Manual Auto/WiFi/GSM/LoRa selection</t>
        </is>
      </c>
      <c r="H11" s="258" t="inlineStr">
        <is>
          <t>Planned</t>
        </is>
      </c>
      <c r="I11" s="258" t="inlineStr">
        <is>
          <t>2026-05-05</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sheetData>
  <mergeCells count="1">
    <mergeCell ref="A1:I1"/>
  </mergeCells>
  <dataValidations count="1">
    <dataValidation sqref="I4:I12"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H60"/>
  <sheetViews>
    <sheetView workbookViewId="0">
      <selection activeCell="A1" sqref="A1"/>
    </sheetView>
  </sheetViews>
  <sheetFormatPr baseColWidth="8" defaultRowHeight="15"/>
  <cols>
    <col width="10" customWidth="1" style="51" min="1" max="1"/>
    <col width="34" customWidth="1" style="51" min="2" max="2"/>
    <col width="32" customWidth="1" style="51" min="3" max="3"/>
    <col width="32" customWidth="1" style="51" min="4" max="4"/>
    <col width="28" customWidth="1" style="51" min="5" max="5"/>
    <col width="24" customWidth="1" style="51" min="6" max="6"/>
    <col width="36" customWidth="1" style="51" min="7" max="7"/>
    <col width="14" customWidth="1" style="51" min="8" max="8"/>
  </cols>
  <sheetData>
    <row r="1">
      <c r="A1" s="233" t="inlineStr">
        <is>
          <t>Codex CLI on MacBook Pro M1 Max</t>
        </is>
      </c>
      <c r="B1" s="233" t="str"/>
      <c r="C1" s="233" t="str"/>
      <c r="D1" s="233" t="str"/>
      <c r="E1" s="233" t="str"/>
      <c r="F1" s="233" t="str"/>
      <c r="G1" s="233" t="str"/>
      <c r="H1" s="233" t="str"/>
    </row>
    <row r="2">
      <c r="A2" s="258" t="n"/>
      <c r="B2" s="258" t="n"/>
      <c r="C2" s="258" t="n"/>
      <c r="D2" s="258" t="n"/>
      <c r="E2" s="258" t="n"/>
      <c r="F2" s="258" t="n"/>
      <c r="G2" s="258" t="n"/>
      <c r="H2" s="258" t="n"/>
    </row>
    <row r="3">
      <c r="A3" s="241" t="inlineStr">
        <is>
          <t>Step</t>
        </is>
      </c>
      <c r="B3" s="241" t="inlineStr">
        <is>
          <t>Command / Action</t>
        </is>
      </c>
      <c r="C3" s="241" t="inlineStr">
        <is>
          <t>Purpose</t>
        </is>
      </c>
      <c r="D3" s="241" t="inlineStr">
        <is>
          <t>Expected result</t>
        </is>
      </c>
      <c r="E3" s="241" t="inlineStr">
        <is>
          <t>When to use</t>
        </is>
      </c>
      <c r="F3" s="241" t="inlineStr">
        <is>
          <t>Workbook evidence</t>
        </is>
      </c>
      <c r="G3" s="241" t="inlineStr">
        <is>
          <t>Risk / Warning</t>
        </is>
      </c>
      <c r="H3" s="241" t="inlineStr">
        <is>
          <t>Status</t>
        </is>
      </c>
    </row>
    <row r="4">
      <c r="A4" s="258" t="inlineStr">
        <is>
          <t>1</t>
        </is>
      </c>
      <c r="B4" s="258" t="inlineStr">
        <is>
          <t>Create/clone GitHub repo locally</t>
        </is>
      </c>
      <c r="C4" s="258" t="inlineStr">
        <is>
          <t>Prepare local project folder for Codex CLI</t>
        </is>
      </c>
      <c r="D4" s="258" t="inlineStr">
        <is>
          <t>Repo folder exists on Mac</t>
        </is>
      </c>
      <c r="E4" s="258" t="inlineStr">
        <is>
          <t>Before local Codex tasks</t>
        </is>
      </c>
      <c r="F4" s="258" t="inlineStr">
        <is>
          <t>Screenshot or terminal output</t>
        </is>
      </c>
      <c r="G4" s="258" t="inlineStr">
        <is>
          <t>Do not create duplicate unrelated folders</t>
        </is>
      </c>
      <c r="H4" s="258" t="inlineStr">
        <is>
          <t>Planned</t>
        </is>
      </c>
    </row>
    <row r="5">
      <c r="A5" s="258" t="inlineStr">
        <is>
          <t>2</t>
        </is>
      </c>
      <c r="B5" s="258" t="inlineStr">
        <is>
          <t>cd pup-manet-emergency-messaging</t>
        </is>
      </c>
      <c r="C5" s="258" t="inlineStr">
        <is>
          <t>Enter repo root before running Codex</t>
        </is>
      </c>
      <c r="D5" s="258" t="inlineStr">
        <is>
          <t>Terminal path is repo root</t>
        </is>
      </c>
      <c r="E5" s="258" t="inlineStr">
        <is>
          <t>Every CLI session</t>
        </is>
      </c>
      <c r="F5" s="258" t="inlineStr">
        <is>
          <t>Terminal output</t>
        </is>
      </c>
      <c r="G5" s="258" t="inlineStr">
        <is>
          <t>Running Codex outside repo may edit wrong folder</t>
        </is>
      </c>
      <c r="H5" s="258" t="inlineStr">
        <is>
          <t>Planned</t>
        </is>
      </c>
    </row>
    <row r="6">
      <c r="A6" s="258" t="inlineStr">
        <is>
          <t>3</t>
        </is>
      </c>
      <c r="B6" s="258" t="inlineStr">
        <is>
          <t>codex</t>
        </is>
      </c>
      <c r="C6" s="258" t="inlineStr">
        <is>
          <t>Start Codex CLI</t>
        </is>
      </c>
      <c r="D6" s="258" t="inlineStr">
        <is>
          <t>Interactive Codex session opens</t>
        </is>
      </c>
      <c r="E6" s="258" t="inlineStr">
        <is>
          <t>Local review/editing</t>
        </is>
      </c>
      <c r="F6" s="258" t="inlineStr">
        <is>
          <t>Screenshot or note</t>
        </is>
      </c>
      <c r="G6" s="258" t="inlineStr">
        <is>
          <t>Do not approve large rewrites without review</t>
        </is>
      </c>
      <c r="H6" s="258" t="inlineStr">
        <is>
          <t>Planned</t>
        </is>
      </c>
    </row>
    <row r="7">
      <c r="A7" s="258" t="inlineStr">
        <is>
          <t>4</t>
        </is>
      </c>
      <c r="B7" s="258" t="inlineStr">
        <is>
          <t>Ask Codex to inspect only first</t>
        </is>
      </c>
      <c r="C7" s="258" t="inlineStr">
        <is>
          <t>Prevent unnecessary rewrites</t>
        </is>
      </c>
      <c r="D7" s="258" t="inlineStr">
        <is>
          <t>Codex reports findings before changing files</t>
        </is>
      </c>
      <c r="E7" s="258" t="inlineStr">
        <is>
          <t>Before any coding task</t>
        </is>
      </c>
      <c r="F7" s="258" t="inlineStr">
        <is>
          <t>Codex summary</t>
        </is>
      </c>
      <c r="G7" s="258" t="inlineStr">
        <is>
          <t>Must keep changes scoped to workbook step</t>
        </is>
      </c>
      <c r="H7" s="258" t="inlineStr">
        <is>
          <t>Planned</t>
        </is>
      </c>
    </row>
    <row r="8">
      <c r="A8" s="258" t="inlineStr">
        <is>
          <t>5</t>
        </is>
      </c>
      <c r="B8" s="258" t="inlineStr">
        <is>
          <t>Run local build/test commands</t>
        </is>
      </c>
      <c r="C8" s="258" t="inlineStr">
        <is>
          <t>Verify code before commit/PR</t>
        </is>
      </c>
      <c r="D8" s="258" t="inlineStr">
        <is>
          <t>Build/test output available</t>
        </is>
      </c>
      <c r="E8" s="258" t="inlineStr">
        <is>
          <t>After Codex changes</t>
        </is>
      </c>
      <c r="F8" s="258" t="inlineStr">
        <is>
          <t>Build log</t>
        </is>
      </c>
      <c r="G8" s="258" t="inlineStr">
        <is>
          <t>Hardware tests still require actual devices</t>
        </is>
      </c>
      <c r="H8" s="258" t="inlineStr">
        <is>
          <t>Planned</t>
        </is>
      </c>
    </row>
    <row r="9">
      <c r="A9" s="258" t="inlineStr">
        <is>
          <t>6</t>
        </is>
      </c>
      <c r="B9" s="258" t="inlineStr">
        <is>
          <t>git status / git diff</t>
        </is>
      </c>
      <c r="C9" s="258" t="inlineStr">
        <is>
          <t>Review changed files</t>
        </is>
      </c>
      <c r="D9" s="258" t="inlineStr">
        <is>
          <t>Only expected files changed</t>
        </is>
      </c>
      <c r="E9" s="258" t="inlineStr">
        <is>
          <t>Before commit</t>
        </is>
      </c>
      <c r="F9" s="258" t="inlineStr">
        <is>
          <t>Diff summary</t>
        </is>
      </c>
      <c r="G9" s="258" t="inlineStr">
        <is>
          <t>Never commit secrets or local config</t>
        </is>
      </c>
      <c r="H9" s="258" t="inlineStr">
        <is>
          <t>Planned</t>
        </is>
      </c>
    </row>
    <row r="10">
      <c r="A10" s="258" t="inlineStr">
        <is>
          <t>7</t>
        </is>
      </c>
      <c r="B10" s="258" t="inlineStr">
        <is>
          <t>Commit and push branch</t>
        </is>
      </c>
      <c r="C10" s="258" t="inlineStr">
        <is>
          <t>Send work to GitHub</t>
        </is>
      </c>
      <c r="D10" s="258" t="inlineStr">
        <is>
          <t>Branch visible in GitHub</t>
        </is>
      </c>
      <c r="E10" s="258" t="inlineStr">
        <is>
          <t>After successful review</t>
        </is>
      </c>
      <c r="F10" s="258" t="inlineStr">
        <is>
          <t>Commit hash</t>
        </is>
      </c>
      <c r="G10" s="258" t="inlineStr">
        <is>
          <t>Use meaningful commit messages</t>
        </is>
      </c>
      <c r="H10" s="258" t="inlineStr">
        <is>
          <t>Planned</t>
        </is>
      </c>
    </row>
    <row r="11">
      <c r="A11" s="258" t="n"/>
      <c r="B11" s="258" t="n"/>
      <c r="C11" s="258" t="n"/>
      <c r="D11" s="258" t="n"/>
      <c r="E11" s="258" t="n"/>
      <c r="F11" s="258" t="n"/>
      <c r="G11" s="258" t="n"/>
      <c r="H11" s="258" t="n"/>
    </row>
    <row r="12">
      <c r="A12" s="258" t="n"/>
      <c r="B12" s="258" t="n"/>
      <c r="C12" s="258" t="n"/>
      <c r="D12" s="258" t="n"/>
      <c r="E12" s="258" t="n"/>
      <c r="F12" s="258" t="n"/>
      <c r="G12" s="258" t="n"/>
      <c r="H12" s="258" t="n"/>
    </row>
    <row r="13">
      <c r="A13" s="258" t="n"/>
      <c r="B13" s="258" t="n"/>
      <c r="C13" s="258" t="n"/>
      <c r="D13" s="258" t="n"/>
      <c r="E13" s="258" t="n"/>
      <c r="F13" s="258" t="n"/>
      <c r="G13" s="258" t="n"/>
      <c r="H13" s="258" t="n"/>
    </row>
    <row r="14">
      <c r="A14" s="258" t="n"/>
      <c r="B14" s="258" t="n"/>
      <c r="C14" s="258" t="n"/>
      <c r="D14" s="258" t="n"/>
      <c r="E14" s="258" t="n"/>
      <c r="F14" s="258" t="n"/>
      <c r="G14" s="258" t="n"/>
      <c r="H14" s="258" t="n"/>
    </row>
    <row r="15">
      <c r="A15" s="258" t="n"/>
      <c r="B15" s="258" t="n"/>
      <c r="C15" s="258" t="n"/>
      <c r="D15" s="258" t="n"/>
      <c r="E15" s="258" t="n"/>
      <c r="F15" s="258" t="n"/>
      <c r="G15" s="258" t="n"/>
      <c r="H15" s="258" t="n"/>
    </row>
    <row r="16">
      <c r="A16" s="258" t="n"/>
      <c r="B16" s="258" t="n"/>
      <c r="C16" s="258" t="n"/>
      <c r="D16" s="258" t="n"/>
      <c r="E16" s="258" t="n"/>
      <c r="F16" s="258" t="n"/>
      <c r="G16" s="258" t="n"/>
      <c r="H16" s="258" t="n"/>
    </row>
    <row r="17">
      <c r="A17" s="258" t="n"/>
      <c r="B17" s="258" t="n"/>
      <c r="C17" s="258" t="n"/>
      <c r="D17" s="258" t="n"/>
      <c r="E17" s="258" t="n"/>
      <c r="F17" s="258" t="n"/>
      <c r="G17" s="258" t="n"/>
      <c r="H17" s="258" t="n"/>
    </row>
    <row r="18">
      <c r="A18" s="258" t="n"/>
      <c r="B18" s="258" t="n"/>
      <c r="C18" s="258" t="n"/>
      <c r="D18" s="258" t="n"/>
      <c r="E18" s="258" t="n"/>
      <c r="F18" s="258" t="n"/>
      <c r="G18" s="258" t="n"/>
      <c r="H18" s="258" t="n"/>
    </row>
    <row r="19">
      <c r="A19" s="258" t="n"/>
      <c r="B19" s="258" t="n"/>
      <c r="C19" s="258" t="n"/>
      <c r="D19" s="258" t="n"/>
      <c r="E19" s="258" t="n"/>
      <c r="F19" s="258" t="n"/>
      <c r="G19" s="258" t="n"/>
      <c r="H19" s="258" t="n"/>
    </row>
    <row r="20">
      <c r="A20" s="258" t="n"/>
      <c r="B20" s="258" t="n"/>
      <c r="C20" s="258" t="n"/>
      <c r="D20" s="258" t="n"/>
      <c r="E20" s="258" t="n"/>
      <c r="F20" s="258" t="n"/>
      <c r="G20" s="258" t="n"/>
      <c r="H20" s="258" t="n"/>
    </row>
    <row r="21">
      <c r="A21" s="258" t="n"/>
      <c r="B21" s="258" t="n"/>
      <c r="C21" s="258" t="n"/>
      <c r="D21" s="258" t="n"/>
      <c r="E21" s="258" t="n"/>
      <c r="F21" s="258" t="n"/>
      <c r="G21" s="258" t="n"/>
      <c r="H21" s="258" t="n"/>
    </row>
    <row r="22">
      <c r="A22" s="258" t="n"/>
      <c r="B22" s="258" t="n"/>
      <c r="C22" s="258" t="n"/>
      <c r="D22" s="258" t="n"/>
      <c r="E22" s="258" t="n"/>
      <c r="F22" s="258" t="n"/>
      <c r="G22" s="258" t="n"/>
      <c r="H22" s="258" t="n"/>
    </row>
    <row r="23">
      <c r="A23" s="258" t="n"/>
      <c r="B23" s="258" t="n"/>
      <c r="C23" s="258" t="n"/>
      <c r="D23" s="258" t="n"/>
      <c r="E23" s="258" t="n"/>
      <c r="F23" s="258" t="n"/>
      <c r="G23" s="258" t="n"/>
      <c r="H23" s="258" t="n"/>
    </row>
    <row r="24">
      <c r="A24" s="258" t="n"/>
      <c r="B24" s="258" t="n"/>
      <c r="C24" s="258" t="n"/>
      <c r="D24" s="258" t="n"/>
      <c r="E24" s="258" t="n"/>
      <c r="F24" s="258" t="n"/>
      <c r="G24" s="258" t="n"/>
      <c r="H24" s="258" t="n"/>
    </row>
    <row r="25">
      <c r="A25" s="258" t="n"/>
      <c r="B25" s="258" t="n"/>
      <c r="C25" s="258" t="n"/>
      <c r="D25" s="258" t="n"/>
      <c r="E25" s="258" t="n"/>
      <c r="F25" s="258" t="n"/>
      <c r="G25" s="258" t="n"/>
      <c r="H25" s="258" t="n"/>
    </row>
    <row r="26">
      <c r="A26" s="258" t="n"/>
      <c r="B26" s="258" t="n"/>
      <c r="C26" s="258" t="n"/>
      <c r="D26" s="258" t="n"/>
      <c r="E26" s="258" t="n"/>
      <c r="F26" s="258" t="n"/>
      <c r="G26" s="258" t="n"/>
      <c r="H26" s="258" t="n"/>
    </row>
    <row r="27">
      <c r="A27" s="258" t="n"/>
      <c r="B27" s="258" t="n"/>
      <c r="C27" s="258" t="n"/>
      <c r="D27" s="258" t="n"/>
      <c r="E27" s="258" t="n"/>
      <c r="F27" s="258" t="n"/>
      <c r="G27" s="258" t="n"/>
      <c r="H27" s="258" t="n"/>
    </row>
    <row r="28">
      <c r="A28" s="258" t="n"/>
      <c r="B28" s="258" t="n"/>
      <c r="C28" s="258" t="n"/>
      <c r="D28" s="258" t="n"/>
      <c r="E28" s="258" t="n"/>
      <c r="F28" s="258" t="n"/>
      <c r="G28" s="258" t="n"/>
      <c r="H28" s="258" t="n"/>
    </row>
    <row r="29">
      <c r="A29" s="258" t="n"/>
      <c r="B29" s="258" t="n"/>
      <c r="C29" s="258" t="n"/>
      <c r="D29" s="258" t="n"/>
      <c r="E29" s="258" t="n"/>
      <c r="F29" s="258" t="n"/>
      <c r="G29" s="258" t="n"/>
      <c r="H29" s="258" t="n"/>
    </row>
    <row r="30">
      <c r="A30" s="258" t="n"/>
      <c r="B30" s="258" t="n"/>
      <c r="C30" s="258" t="n"/>
      <c r="D30" s="258" t="n"/>
      <c r="E30" s="258" t="n"/>
      <c r="F30" s="258" t="n"/>
      <c r="G30" s="258" t="n"/>
      <c r="H30" s="258" t="n"/>
    </row>
    <row r="31">
      <c r="A31" s="258" t="n"/>
      <c r="B31" s="258" t="n"/>
      <c r="C31" s="258" t="n"/>
      <c r="D31" s="258" t="n"/>
      <c r="E31" s="258" t="n"/>
      <c r="F31" s="258" t="n"/>
      <c r="G31" s="258" t="n"/>
      <c r="H31" s="258" t="n"/>
    </row>
    <row r="32">
      <c r="A32" s="258" t="n"/>
      <c r="B32" s="258" t="n"/>
      <c r="C32" s="258" t="n"/>
      <c r="D32" s="258" t="n"/>
      <c r="E32" s="258" t="n"/>
      <c r="F32" s="258" t="n"/>
      <c r="G32" s="258" t="n"/>
      <c r="H32" s="258" t="n"/>
    </row>
    <row r="33">
      <c r="A33" s="258" t="n"/>
      <c r="B33" s="258" t="n"/>
      <c r="C33" s="258" t="n"/>
      <c r="D33" s="258" t="n"/>
      <c r="E33" s="258" t="n"/>
      <c r="F33" s="258" t="n"/>
      <c r="G33" s="258" t="n"/>
      <c r="H33" s="258" t="n"/>
    </row>
    <row r="34">
      <c r="A34" s="258" t="n"/>
      <c r="B34" s="258" t="n"/>
      <c r="C34" s="258" t="n"/>
      <c r="D34" s="258" t="n"/>
      <c r="E34" s="258" t="n"/>
      <c r="F34" s="258" t="n"/>
      <c r="G34" s="258" t="n"/>
      <c r="H34" s="258" t="n"/>
    </row>
    <row r="35">
      <c r="A35" s="258" t="n"/>
      <c r="B35" s="258" t="n"/>
      <c r="C35" s="258" t="n"/>
      <c r="D35" s="258" t="n"/>
      <c r="E35" s="258" t="n"/>
      <c r="F35" s="258" t="n"/>
      <c r="G35" s="258" t="n"/>
      <c r="H35" s="258" t="n"/>
    </row>
    <row r="36">
      <c r="A36" s="258" t="n"/>
      <c r="B36" s="258" t="n"/>
      <c r="C36" s="258" t="n"/>
      <c r="D36" s="258" t="n"/>
      <c r="E36" s="258" t="n"/>
      <c r="F36" s="258" t="n"/>
      <c r="G36" s="258" t="n"/>
      <c r="H36" s="258" t="n"/>
    </row>
    <row r="37">
      <c r="A37" s="258" t="n"/>
      <c r="B37" s="258" t="n"/>
      <c r="C37" s="258" t="n"/>
      <c r="D37" s="258" t="n"/>
      <c r="E37" s="258" t="n"/>
      <c r="F37" s="258" t="n"/>
      <c r="G37" s="258" t="n"/>
      <c r="H37" s="258" t="n"/>
    </row>
    <row r="38">
      <c r="A38" s="258" t="n"/>
      <c r="B38" s="258" t="n"/>
      <c r="C38" s="258" t="n"/>
      <c r="D38" s="258" t="n"/>
      <c r="E38" s="258" t="n"/>
      <c r="F38" s="258" t="n"/>
      <c r="G38" s="258" t="n"/>
      <c r="H38" s="258" t="n"/>
    </row>
    <row r="39">
      <c r="A39" s="258" t="n"/>
      <c r="B39" s="258" t="n"/>
      <c r="C39" s="258" t="n"/>
      <c r="D39" s="258" t="n"/>
      <c r="E39" s="258" t="n"/>
      <c r="F39" s="258" t="n"/>
      <c r="G39" s="258" t="n"/>
      <c r="H39" s="258" t="n"/>
    </row>
    <row r="40">
      <c r="A40" s="258" t="n"/>
      <c r="B40" s="258" t="n"/>
      <c r="C40" s="258" t="n"/>
      <c r="D40" s="258" t="n"/>
      <c r="E40" s="258" t="n"/>
      <c r="F40" s="258" t="n"/>
      <c r="G40" s="258" t="n"/>
      <c r="H40" s="258" t="n"/>
    </row>
    <row r="41">
      <c r="A41" s="258" t="n"/>
      <c r="B41" s="258" t="n"/>
      <c r="C41" s="258" t="n"/>
      <c r="D41" s="258" t="n"/>
      <c r="E41" s="258" t="n"/>
      <c r="F41" s="258" t="n"/>
      <c r="G41" s="258" t="n"/>
      <c r="H41" s="258" t="n"/>
    </row>
    <row r="42">
      <c r="A42" s="258" t="n"/>
      <c r="B42" s="258" t="n"/>
      <c r="C42" s="258" t="n"/>
      <c r="D42" s="258" t="n"/>
      <c r="E42" s="258" t="n"/>
      <c r="F42" s="258" t="n"/>
      <c r="G42" s="258" t="n"/>
      <c r="H42" s="258" t="n"/>
    </row>
    <row r="43">
      <c r="A43" s="258" t="n"/>
      <c r="B43" s="258" t="n"/>
      <c r="C43" s="258" t="n"/>
      <c r="D43" s="258" t="n"/>
      <c r="E43" s="258" t="n"/>
      <c r="F43" s="258" t="n"/>
      <c r="G43" s="258" t="n"/>
      <c r="H43" s="258" t="n"/>
    </row>
    <row r="44">
      <c r="A44" s="258" t="n"/>
      <c r="B44" s="258" t="n"/>
      <c r="C44" s="258" t="n"/>
      <c r="D44" s="258" t="n"/>
      <c r="E44" s="258" t="n"/>
      <c r="F44" s="258" t="n"/>
      <c r="G44" s="258" t="n"/>
      <c r="H44" s="258" t="n"/>
    </row>
    <row r="45">
      <c r="A45" s="258" t="n"/>
      <c r="B45" s="258" t="n"/>
      <c r="C45" s="258" t="n"/>
      <c r="D45" s="258" t="n"/>
      <c r="E45" s="258" t="n"/>
      <c r="F45" s="258" t="n"/>
      <c r="G45" s="258" t="n"/>
      <c r="H45" s="258" t="n"/>
    </row>
    <row r="46">
      <c r="A46" s="258" t="n"/>
      <c r="B46" s="258" t="n"/>
      <c r="C46" s="258" t="n"/>
      <c r="D46" s="258" t="n"/>
      <c r="E46" s="258" t="n"/>
      <c r="F46" s="258" t="n"/>
      <c r="G46" s="258" t="n"/>
      <c r="H46" s="258" t="n"/>
    </row>
    <row r="47">
      <c r="A47" s="258" t="n"/>
      <c r="B47" s="258" t="n"/>
      <c r="C47" s="258" t="n"/>
      <c r="D47" s="258" t="n"/>
      <c r="E47" s="258" t="n"/>
      <c r="F47" s="258" t="n"/>
      <c r="G47" s="258" t="n"/>
      <c r="H47" s="258" t="n"/>
    </row>
    <row r="48">
      <c r="A48" s="258" t="n"/>
      <c r="B48" s="258" t="n"/>
      <c r="C48" s="258" t="n"/>
      <c r="D48" s="258" t="n"/>
      <c r="E48" s="258" t="n"/>
      <c r="F48" s="258" t="n"/>
      <c r="G48" s="258" t="n"/>
      <c r="H48" s="258" t="n"/>
    </row>
    <row r="49">
      <c r="A49" s="258" t="n"/>
      <c r="B49" s="258" t="n"/>
      <c r="C49" s="258" t="n"/>
      <c r="D49" s="258" t="n"/>
      <c r="E49" s="258" t="n"/>
      <c r="F49" s="258" t="n"/>
      <c r="G49" s="258" t="n"/>
      <c r="H49" s="258" t="n"/>
    </row>
    <row r="50">
      <c r="A50" s="258" t="n"/>
      <c r="B50" s="258" t="n"/>
      <c r="C50" s="258" t="n"/>
      <c r="D50" s="258" t="n"/>
      <c r="E50" s="258" t="n"/>
      <c r="F50" s="258" t="n"/>
      <c r="G50" s="258" t="n"/>
      <c r="H50" s="258" t="n"/>
    </row>
    <row r="51">
      <c r="A51" s="258" t="n"/>
      <c r="B51" s="258" t="n"/>
      <c r="C51" s="258" t="n"/>
      <c r="D51" s="258" t="n"/>
      <c r="E51" s="258" t="n"/>
      <c r="F51" s="258" t="n"/>
      <c r="G51" s="258" t="n"/>
      <c r="H51" s="258" t="n"/>
    </row>
    <row r="52">
      <c r="A52" s="258" t="n"/>
      <c r="B52" s="258" t="n"/>
      <c r="C52" s="258" t="n"/>
      <c r="D52" s="258" t="n"/>
      <c r="E52" s="258" t="n"/>
      <c r="F52" s="258" t="n"/>
      <c r="G52" s="258" t="n"/>
      <c r="H52" s="258" t="n"/>
    </row>
    <row r="53">
      <c r="A53" s="258" t="n"/>
      <c r="B53" s="258" t="n"/>
      <c r="C53" s="258" t="n"/>
      <c r="D53" s="258" t="n"/>
      <c r="E53" s="258" t="n"/>
      <c r="F53" s="258" t="n"/>
      <c r="G53" s="258" t="n"/>
      <c r="H53" s="258" t="n"/>
    </row>
    <row r="54">
      <c r="A54" s="258" t="n"/>
      <c r="B54" s="258" t="n"/>
      <c r="C54" s="258" t="n"/>
      <c r="D54" s="258" t="n"/>
      <c r="E54" s="258" t="n"/>
      <c r="F54" s="258" t="n"/>
      <c r="G54" s="258" t="n"/>
      <c r="H54" s="258" t="n"/>
    </row>
    <row r="55">
      <c r="A55" s="258" t="n"/>
      <c r="B55" s="258" t="n"/>
      <c r="C55" s="258" t="n"/>
      <c r="D55" s="258" t="n"/>
      <c r="E55" s="258" t="n"/>
      <c r="F55" s="258" t="n"/>
      <c r="G55" s="258" t="n"/>
      <c r="H55" s="258" t="n"/>
    </row>
    <row r="56">
      <c r="A56" s="258" t="n"/>
      <c r="B56" s="258" t="n"/>
      <c r="C56" s="258" t="n"/>
      <c r="D56" s="258" t="n"/>
      <c r="E56" s="258" t="n"/>
      <c r="F56" s="258" t="n"/>
      <c r="G56" s="258" t="n"/>
      <c r="H56" s="258" t="n"/>
    </row>
    <row r="57">
      <c r="A57" s="258" t="n"/>
      <c r="B57" s="258" t="n"/>
      <c r="C57" s="258" t="n"/>
      <c r="D57" s="258" t="n"/>
      <c r="E57" s="258" t="n"/>
      <c r="F57" s="258" t="n"/>
      <c r="G57" s="258" t="n"/>
      <c r="H57" s="258" t="n"/>
    </row>
    <row r="58">
      <c r="A58" s="258" t="n"/>
      <c r="B58" s="258" t="n"/>
      <c r="C58" s="258" t="n"/>
      <c r="D58" s="258" t="n"/>
      <c r="E58" s="258" t="n"/>
      <c r="F58" s="258" t="n"/>
      <c r="G58" s="258" t="n"/>
      <c r="H58" s="258" t="n"/>
    </row>
    <row r="59">
      <c r="A59" s="258" t="n"/>
      <c r="B59" s="258" t="n"/>
      <c r="C59" s="258" t="n"/>
      <c r="D59" s="258" t="n"/>
      <c r="E59" s="258" t="n"/>
      <c r="F59" s="258" t="n"/>
      <c r="G59" s="258" t="n"/>
      <c r="H59" s="258" t="n"/>
    </row>
    <row r="60">
      <c r="A60" s="258" t="n"/>
      <c r="B60" s="258" t="n"/>
      <c r="C60" s="258" t="n"/>
      <c r="D60" s="258" t="n"/>
      <c r="E60" s="258" t="n"/>
      <c r="F60" s="258" t="n"/>
      <c r="G60" s="258" t="n"/>
      <c r="H60" s="258" t="n"/>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J11"/>
  <sheetViews>
    <sheetView workbookViewId="0">
      <pane ySplit="4" topLeftCell="A5" activePane="bottomLeft" state="frozen"/>
      <selection pane="bottomLeft" activeCell="A1" sqref="A1"/>
    </sheetView>
  </sheetViews>
  <sheetFormatPr baseColWidth="8" defaultRowHeight="15"/>
  <cols>
    <col width="26" customWidth="1" style="51" min="1" max="1"/>
    <col width="42" customWidth="1" style="51" min="2" max="2"/>
    <col width="30" customWidth="1" style="51" min="3" max="3"/>
    <col width="42" customWidth="1" style="51" min="4" max="4"/>
    <col width="17" customWidth="1" style="51" min="5" max="5"/>
    <col width="42" customWidth="1" style="51" min="6" max="6"/>
    <col width="42" customWidth="1" style="51" min="7" max="7"/>
    <col width="35" customWidth="1" style="51" min="8" max="8"/>
    <col width="16" customWidth="1" style="51" min="9" max="9"/>
    <col width="42" customWidth="1" style="51" min="10" max="10"/>
  </cols>
  <sheetData>
    <row r="1">
      <c r="A1" s="278" t="inlineStr">
        <is>
          <t>AI Stack</t>
        </is>
      </c>
    </row>
    <row r="2">
      <c r="A2" s="279" t="inlineStr">
        <is>
          <t>Last updated</t>
        </is>
      </c>
      <c r="B2" t="inlineStr">
        <is>
          <t>2026-05-15</t>
        </is>
      </c>
    </row>
    <row r="4">
      <c r="A4" s="280" t="inlineStr">
        <is>
          <t>Tool / Model</t>
        </is>
      </c>
      <c r="B4" s="280" t="inlineStr">
        <is>
          <t>Role</t>
        </is>
      </c>
      <c r="C4" s="280" t="inlineStr">
        <is>
          <t>Provider / Source</t>
        </is>
      </c>
      <c r="D4" s="280" t="inlineStr">
        <is>
          <t>Purpose</t>
        </is>
      </c>
      <c r="E4" s="280" t="inlineStr">
        <is>
          <t>Cost Category</t>
        </is>
      </c>
      <c r="F4" s="280" t="inlineStr">
        <is>
          <t>Use When</t>
        </is>
      </c>
      <c r="G4" s="280" t="inlineStr">
        <is>
          <t>Do Not Use For</t>
        </is>
      </c>
      <c r="H4" s="280" t="inlineStr">
        <is>
          <t>Roo Profile / Access</t>
        </is>
      </c>
      <c r="I4" s="280" t="inlineStr">
        <is>
          <t>Fallback Order</t>
        </is>
      </c>
      <c r="J4" s="280" t="inlineStr">
        <is>
          <t>Notes</t>
        </is>
      </c>
    </row>
    <row r="5">
      <c r="A5" s="281" t="inlineStr">
        <is>
          <t>ChatGPT</t>
        </is>
      </c>
      <c r="B5" s="281" t="inlineStr">
        <is>
          <t>Project Director</t>
        </is>
      </c>
      <c r="C5" s="281" t="inlineStr">
        <is>
          <t>OpenAI</t>
        </is>
      </c>
      <c r="D5" s="281" t="inlineStr">
        <is>
          <t>Planning, architecture, debugging strategy, workflow, prompts, continuity</t>
        </is>
      </c>
      <c r="E5" s="281" t="inlineStr">
        <is>
          <t>Paid / planning</t>
        </is>
      </c>
      <c r="F5" s="281" t="inlineStr">
        <is>
          <t>Architecture, milestone planning, troubleshooting, Codex task prep</t>
        </is>
      </c>
      <c r="G5" s="281" t="inlineStr">
        <is>
          <t>Repeated repo-wide implementation or build loops</t>
        </is>
      </c>
      <c r="H5" s="281" t="inlineStr">
        <is>
          <t>ChatGPT app/web</t>
        </is>
      </c>
      <c r="I5" s="281" t="inlineStr">
        <is>
          <t>Director</t>
        </is>
      </c>
      <c r="J5" s="281" t="inlineStr">
        <is>
          <t>Does not replace workbook/GitHub memory</t>
        </is>
      </c>
    </row>
    <row r="6">
      <c r="A6" s="281" t="inlineStr">
        <is>
          <t>Gemini / Gemma API</t>
        </is>
      </c>
      <c r="B6" s="281" t="inlineStr">
        <is>
          <t>Online helper</t>
        </is>
      </c>
      <c r="C6" s="281" t="inlineStr">
        <is>
          <t>Google</t>
        </is>
      </c>
      <c r="D6" s="281" t="inlineStr">
        <is>
          <t>Documentation drafts, summaries, simple explanations, prompt cleanup</t>
        </is>
      </c>
      <c r="E6" s="281" t="inlineStr">
        <is>
          <t>Free / low-cost</t>
        </is>
      </c>
      <c r="F6" s="281" t="inlineStr">
        <is>
          <t>Simple notes, workbook text drafts, lightweight planning</t>
        </is>
      </c>
      <c r="G6" s="281" t="inlineStr">
        <is>
          <t>Complex architecture-sensitive implementation</t>
        </is>
      </c>
      <c r="H6" s="281" t="inlineStr">
        <is>
          <t>Roo: Gemini Online / Gemma Online</t>
        </is>
      </c>
      <c r="I6" s="281" t="inlineStr">
        <is>
          <t>1</t>
        </is>
      </c>
      <c r="J6" s="281" t="inlineStr">
        <is>
          <t>Cheapest online helper when sufficient</t>
        </is>
      </c>
    </row>
    <row r="7">
      <c r="A7" s="281" t="inlineStr">
        <is>
          <t>DeepSeek V3</t>
        </is>
      </c>
      <c r="B7" s="281" t="inlineStr">
        <is>
          <t>Cheap coding backup</t>
        </is>
      </c>
      <c r="C7" s="281" t="inlineStr">
        <is>
          <t>DeepSeek API</t>
        </is>
      </c>
      <c r="D7" s="281" t="inlineStr">
        <is>
          <t>Medium coding, repetitive edits, utility code, docs refinement</t>
        </is>
      </c>
      <c r="E7" s="281" t="inlineStr">
        <is>
          <t>Low-cost cloud</t>
        </is>
      </c>
      <c r="F7" s="281" t="inlineStr">
        <is>
          <t>Small or medium implementation where repo context is limited</t>
        </is>
      </c>
      <c r="G7" s="281" t="inlineStr">
        <is>
          <t>Difficult repo-wide fixes needing execution</t>
        </is>
      </c>
      <c r="H7" s="281" t="inlineStr">
        <is>
          <t>Roo: DeepSeek Cheap</t>
        </is>
      </c>
      <c r="I7" s="281" t="inlineStr">
        <is>
          <t>2</t>
        </is>
      </c>
      <c r="J7" s="281" t="inlineStr">
        <is>
          <t>Escalate when context/risk is high</t>
        </is>
      </c>
    </row>
    <row r="8">
      <c r="A8" s="281" t="inlineStr">
        <is>
          <t>Kimi K2.6</t>
        </is>
      </c>
      <c r="B8" s="281" t="inlineStr">
        <is>
          <t>Primary heavy coding model</t>
        </is>
      </c>
      <c r="C8" s="281" t="inlineStr">
        <is>
          <t>Moonshot / Kimi</t>
        </is>
      </c>
      <c r="D8" s="281" t="inlineStr">
        <is>
          <t>Long-context architecture-aware implementation</t>
        </is>
      </c>
      <c r="E8" s="281" t="inlineStr">
        <is>
          <t>Moderate cloud</t>
        </is>
      </c>
      <c r="F8" s="281" t="inlineStr">
        <is>
          <t>Large multi-file features and important milestones</t>
        </is>
      </c>
      <c r="G8" s="281" t="inlineStr">
        <is>
          <t>Local builds, hardware validation, repeated execution loops</t>
        </is>
      </c>
      <c r="H8" s="281" t="inlineStr">
        <is>
          <t>Roo: Kimi Main</t>
        </is>
      </c>
      <c r="I8" s="281" t="inlineStr">
        <is>
          <t>3</t>
        </is>
      </c>
      <c r="J8" s="281" t="inlineStr">
        <is>
          <t>Main coding model before Codex</t>
        </is>
      </c>
    </row>
    <row r="9">
      <c r="A9" s="281" t="inlineStr">
        <is>
          <t>Codex</t>
        </is>
      </c>
      <c r="B9" s="281" t="inlineStr">
        <is>
          <t>Premium repo execution and validation engine</t>
        </is>
      </c>
      <c r="C9" s="281" t="inlineStr">
        <is>
          <t>OpenAI Codex local workspace</t>
        </is>
      </c>
      <c r="D9" s="281" t="inlineStr">
        <is>
          <t>Repo-aware implementation, terminal validation, difficult multi-file fixes</t>
        </is>
      </c>
      <c r="E9" s="281" t="inlineStr">
        <is>
          <t>Premium</t>
        </is>
      </c>
      <c r="F9" s="281" t="inlineStr">
        <is>
          <t>Need actual repo execution, build/test validation, dependency-aware fixes</t>
        </is>
      </c>
      <c r="G9" s="281" t="inlineStr">
        <is>
          <t>Simple docs, one-file minor edits, workbook-only tasks</t>
        </is>
      </c>
      <c r="H9" s="281" t="inlineStr">
        <is>
          <t>Codex desktop/CLI</t>
        </is>
      </c>
      <c r="I9" s="281" t="inlineStr">
        <is>
          <t>4</t>
        </is>
      </c>
      <c r="J9" s="281" t="inlineStr">
        <is>
          <t>Use only when cheaper tools are insufficient or execution is required</t>
        </is>
      </c>
    </row>
    <row r="10">
      <c r="A10" s="281" t="inlineStr">
        <is>
          <t>Local Qwen via LM Studio</t>
        </is>
      </c>
      <c r="B10" s="281" t="inlineStr">
        <is>
          <t>Emergency offline fallback</t>
        </is>
      </c>
      <c r="C10" s="281" t="inlineStr">
        <is>
          <t>Local machine</t>
        </is>
      </c>
      <c r="D10" s="281" t="inlineStr">
        <is>
          <t>Offline snippets, simple fixes, emergency notes</t>
        </is>
      </c>
      <c r="E10" s="281" t="inlineStr">
        <is>
          <t>Local / offline</t>
        </is>
      </c>
      <c r="F10" s="281" t="inlineStr">
        <is>
          <t>Internet/API outage or simple one-file emergency work</t>
        </is>
      </c>
      <c r="G10" s="281" t="inlineStr">
        <is>
          <t>Autonomous repo-wide work or heavy long-context tasks</t>
        </is>
      </c>
      <c r="H10" s="281" t="inlineStr">
        <is>
          <t>Roo: Local Qwen Emergency</t>
        </is>
      </c>
      <c r="I10" s="281" t="inlineStr">
        <is>
          <t>Emergency only</t>
        </is>
      </c>
      <c r="J10" s="281" t="inlineStr">
        <is>
          <t>Avoid large scans and heavy agent mode</t>
        </is>
      </c>
    </row>
    <row r="11">
      <c r="A11" s="281" t="inlineStr">
        <is>
          <t>Local Gemma</t>
        </is>
      </c>
      <c r="B11" s="281" t="inlineStr">
        <is>
          <t>Offline lightweight helper</t>
        </is>
      </c>
      <c r="C11" s="281" t="inlineStr">
        <is>
          <t>Local machine</t>
        </is>
      </c>
      <c r="D11" s="281" t="inlineStr">
        <is>
          <t>Simple offline documentation and notes</t>
        </is>
      </c>
      <c r="E11" s="281" t="inlineStr">
        <is>
          <t>Local / offline</t>
        </is>
      </c>
      <c r="F11" s="281" t="inlineStr">
        <is>
          <t>Offline notes or short summaries</t>
        </is>
      </c>
      <c r="G11" s="281" t="inlineStr">
        <is>
          <t>Complex code generation</t>
        </is>
      </c>
      <c r="H11" s="281" t="inlineStr">
        <is>
          <t>Local model profile if configured</t>
        </is>
      </c>
      <c r="I11" s="281" t="inlineStr">
        <is>
          <t>Optional</t>
        </is>
      </c>
      <c r="J11" s="281" t="inlineStr">
        <is>
          <t>Use only if useful</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42" customWidth="1" style="51" min="1" max="1"/>
    <col width="26" customWidth="1" style="51" min="2" max="2"/>
    <col width="42" customWidth="1" style="51" min="3" max="3"/>
    <col width="42" customWidth="1" style="51" min="4" max="4"/>
    <col width="16" customWidth="1" style="51" min="5" max="5"/>
    <col width="42" customWidth="1" style="51" min="6" max="6"/>
    <col width="38" customWidth="1" style="51" min="7" max="7"/>
    <col width="42" customWidth="1" style="51" min="8" max="8"/>
  </cols>
  <sheetData>
    <row r="1">
      <c r="A1" s="278" t="inlineStr">
        <is>
          <t>AI Router</t>
        </is>
      </c>
    </row>
    <row r="2">
      <c r="A2" s="279" t="inlineStr">
        <is>
          <t>Last updated</t>
        </is>
      </c>
      <c r="B2" t="inlineStr">
        <is>
          <t>2026-05-15</t>
        </is>
      </c>
    </row>
    <row r="4">
      <c r="A4" s="280" t="inlineStr">
        <is>
          <t>Task Type</t>
        </is>
      </c>
      <c r="B4" s="280" t="inlineStr">
        <is>
          <t>Recommended Model / Tool</t>
        </is>
      </c>
      <c r="C4" s="280" t="inlineStr">
        <is>
          <t>Reason</t>
        </is>
      </c>
      <c r="D4" s="280" t="inlineStr">
        <is>
          <t>Escalation Target</t>
        </is>
      </c>
      <c r="E4" s="280" t="inlineStr">
        <is>
          <t>Cost Level</t>
        </is>
      </c>
      <c r="F4" s="280" t="inlineStr">
        <is>
          <t>Allowed Scope</t>
        </is>
      </c>
      <c r="G4" s="280" t="inlineStr">
        <is>
          <t>Prohibited Use</t>
        </is>
      </c>
      <c r="H4" s="280" t="inlineStr">
        <is>
          <t>Example Prompt</t>
        </is>
      </c>
    </row>
    <row r="5">
      <c r="A5" s="281" t="inlineStr">
        <is>
          <t>Simple explanation / documentation draft</t>
        </is>
      </c>
      <c r="B5" s="281" t="inlineStr">
        <is>
          <t>Gemini / Gemma API</t>
        </is>
      </c>
      <c r="C5" s="281" t="inlineStr">
        <is>
          <t>Cheapest capable helper</t>
        </is>
      </c>
      <c r="D5" s="281" t="inlineStr">
        <is>
          <t>DeepSeek V3</t>
        </is>
      </c>
      <c r="E5" s="281" t="inlineStr">
        <is>
          <t>Low</t>
        </is>
      </c>
      <c r="F5" s="281" t="inlineStr">
        <is>
          <t>Docs, summaries, notes</t>
        </is>
      </c>
      <c r="G5" s="281" t="inlineStr">
        <is>
          <t>Repo-wide coding</t>
        </is>
      </c>
      <c r="H5" s="281" t="inlineStr">
        <is>
          <t>Draft a concise test note for Step 8.1</t>
        </is>
      </c>
    </row>
    <row r="6">
      <c r="A6" s="281" t="inlineStr">
        <is>
          <t>Cheap coding / utility / small multi-file change</t>
        </is>
      </c>
      <c r="B6" s="281" t="inlineStr">
        <is>
          <t>DeepSeek V3</t>
        </is>
      </c>
      <c r="C6" s="281" t="inlineStr">
        <is>
          <t>Low-cost coding for bounded tasks</t>
        </is>
      </c>
      <c r="D6" s="281" t="inlineStr">
        <is>
          <t>Kimi K2.6</t>
        </is>
      </c>
      <c r="E6" s="281" t="inlineStr">
        <is>
          <t>Low</t>
        </is>
      </c>
      <c r="F6" s="281" t="inlineStr">
        <is>
          <t>Targeted files only</t>
        </is>
      </c>
      <c r="G6" s="281" t="inlineStr">
        <is>
          <t>Hardware validation/build loops</t>
        </is>
      </c>
      <c r="H6" s="281" t="inlineStr">
        <is>
          <t>Modify these two files to add a small helper</t>
        </is>
      </c>
    </row>
    <row r="7">
      <c r="A7" s="281" t="inlineStr">
        <is>
          <t>Heavy architecture-aware implementation</t>
        </is>
      </c>
      <c r="B7" s="281" t="inlineStr">
        <is>
          <t>Kimi K2.6</t>
        </is>
      </c>
      <c r="C7" s="281" t="inlineStr">
        <is>
          <t>Best cost/performance for long-context coding</t>
        </is>
      </c>
      <c r="D7" s="281" t="inlineStr">
        <is>
          <t>Codex</t>
        </is>
      </c>
      <c r="E7" s="281" t="inlineStr">
        <is>
          <t>Medium</t>
        </is>
      </c>
      <c r="F7" s="281" t="inlineStr">
        <is>
          <t>Multi-file implementation with workbook context</t>
        </is>
      </c>
      <c r="G7" s="281" t="inlineStr">
        <is>
          <t>Running repeated local builds</t>
        </is>
      </c>
      <c r="H7" s="281" t="inlineStr">
        <is>
          <t>Implement the approved milestone using these folders only</t>
        </is>
      </c>
    </row>
    <row r="8">
      <c r="A8" s="281" t="inlineStr">
        <is>
          <t>Repo execution / terminal validation / difficult fix</t>
        </is>
      </c>
      <c r="B8" s="281" t="inlineStr">
        <is>
          <t>Codex</t>
        </is>
      </c>
      <c r="C8" s="281" t="inlineStr">
        <is>
          <t>Needs actual workspace commands or dependency-aware edits</t>
        </is>
      </c>
      <c r="D8" s="281" t="inlineStr">
        <is>
          <t>Manual local test / ChatGPT planning</t>
        </is>
      </c>
      <c r="E8" s="281" t="inlineStr">
        <is>
          <t>Premium</t>
        </is>
      </c>
      <c r="F8" s="281" t="inlineStr">
        <is>
          <t>Focused repo execution and validation</t>
        </is>
      </c>
      <c r="G8" s="281" t="inlineStr">
        <is>
          <t>Simple docs or workbook-only updates</t>
        </is>
      </c>
      <c r="H8" s="281" t="inlineStr">
        <is>
          <t>Apply this fix and run one validation command</t>
        </is>
      </c>
    </row>
    <row r="9">
      <c r="A9" s="281" t="inlineStr">
        <is>
          <t>Builds, flashing, emulator, serial monitor</t>
        </is>
      </c>
      <c r="B9" s="281" t="inlineStr">
        <is>
          <t>Local machine</t>
        </is>
      </c>
      <c r="C9" s="281" t="inlineStr">
        <is>
          <t>Execution belongs locally</t>
        </is>
      </c>
      <c r="D9" s="281" t="inlineStr">
        <is>
          <t>Codex only if validation requires repo debugging</t>
        </is>
      </c>
      <c r="E9" s="281" t="inlineStr">
        <is>
          <t>Local</t>
        </is>
      </c>
      <c r="F9" s="281" t="inlineStr">
        <is>
          <t>Android Studio, PlatformIO, RPi, terminal</t>
        </is>
      </c>
      <c r="G9" s="281" t="inlineStr">
        <is>
          <t>Cloud autonomous retry loops</t>
        </is>
      </c>
      <c r="H9" s="281" t="inlineStr">
        <is>
          <t>Run this command locally and send logs</t>
        </is>
      </c>
    </row>
    <row r="10">
      <c r="A10" s="281" t="inlineStr">
        <is>
          <t>Offline emergency</t>
        </is>
      </c>
      <c r="B10" s="281" t="inlineStr">
        <is>
          <t>Local Qwen via LM Studio</t>
        </is>
      </c>
      <c r="C10" s="281" t="inlineStr">
        <is>
          <t>Works without internet/API</t>
        </is>
      </c>
      <c r="D10" s="281" t="inlineStr">
        <is>
          <t>Resume online model later</t>
        </is>
      </c>
      <c r="E10" s="281" t="inlineStr">
        <is>
          <t>Local</t>
        </is>
      </c>
      <c r="F10" s="281" t="inlineStr">
        <is>
          <t>Simple snippets, notes, one-file fixes</t>
        </is>
      </c>
      <c r="G10" s="281" t="inlineStr">
        <is>
          <t>Repo-wide autonomous scans</t>
        </is>
      </c>
      <c r="H10" s="281" t="inlineStr">
        <is>
          <t>Patch this small syntax issue offline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20"/>
  <sheetViews>
    <sheetView workbookViewId="0">
      <pane ySplit="4" topLeftCell="A5" activePane="bottomLeft" state="frozen"/>
      <selection pane="bottomLeft" activeCell="A1" sqref="A1"/>
    </sheetView>
  </sheetViews>
  <sheetFormatPr baseColWidth="8" defaultRowHeight="15"/>
  <cols>
    <col width="30" customWidth="1" style="51" min="1" max="1"/>
    <col width="42" customWidth="1" style="51" min="2" max="2"/>
    <col width="16" customWidth="1" style="51" min="3" max="3"/>
    <col width="16" customWidth="1" style="51" min="4" max="4"/>
  </cols>
  <sheetData>
    <row r="1">
      <c r="A1" s="278" t="inlineStr">
        <is>
          <t>Active Context Snapshot</t>
        </is>
      </c>
    </row>
    <row r="2">
      <c r="A2" s="279" t="inlineStr">
        <is>
          <t>Last updated</t>
        </is>
      </c>
      <c r="B2" s="258" t="inlineStr">
        <is>
          <t>2026-06-07</t>
        </is>
      </c>
    </row>
    <row r="4">
      <c r="A4" s="280" t="inlineStr">
        <is>
          <t>Field</t>
        </is>
      </c>
      <c r="B4" s="280" t="inlineStr">
        <is>
          <t>Field</t>
        </is>
      </c>
    </row>
    <row r="5">
      <c r="A5" s="281" t="inlineStr">
        <is>
          <t>Project</t>
        </is>
      </c>
      <c r="B5" s="281" t="inlineStr">
        <is>
          <t>PUP MANET - STEP046A Controlled Multi-Hop Lab Mode</t>
        </is>
      </c>
      <c r="C5" s="281" t="n"/>
      <c r="D5" s="281" t="n"/>
    </row>
    <row r="6">
      <c r="A6" s="281" t="inlineStr">
        <is>
          <t>Repo</t>
        </is>
      </c>
      <c r="B6" s="281" t="inlineStr">
        <is>
          <t>Clarified requirements: default node IDs, Android online-only visibility, presence protocol (HELLO 10s / offline 30s), STEP042A-D split, delivery tracking (MESSAGE/DELIVERED/SEEN)</t>
        </is>
      </c>
      <c r="C6" s="281" t="n"/>
      <c r="D6" s="281" t="n"/>
    </row>
    <row r="7">
      <c r="A7" s="281" t="inlineStr">
        <is>
          <t>Local Repo Path</t>
        </is>
      </c>
      <c r="B7" s="281" t="inlineStr">
        <is>
          <t>/Users/macbookm1max321tb/A_Design/A_Coding/ADM_Manet</t>
        </is>
      </c>
      <c r="C7" s="281" t="n"/>
      <c r="D7" s="281" t="n"/>
    </row>
    <row r="8">
      <c r="A8" s="281" t="inlineStr">
        <is>
          <t>Workbook Path</t>
        </is>
      </c>
      <c r="B8" s="281" t="inlineStr">
        <is>
          <t>docs/workbook/PUP_MANET_Implementation_Workbook.xlsx</t>
        </is>
      </c>
      <c r="C8" s="281" t="n"/>
      <c r="D8" s="281" t="n"/>
    </row>
    <row r="9">
      <c r="A9" s="281" t="inlineStr">
        <is>
          <t>Current Branch</t>
        </is>
      </c>
      <c r="B9" s="281" t="inlineStr">
        <is>
          <t>step-002-003-esp32-simulation</t>
        </is>
      </c>
      <c r="C9" s="281" t="n"/>
      <c r="D9" s="281" t="n"/>
    </row>
    <row r="10">
      <c r="A10" s="281" t="inlineStr">
        <is>
          <t>Latest Referenced Commit</t>
        </is>
      </c>
      <c r="B10" s="281" t="inlineStr">
        <is>
          <t>8dc04be before STEP046A commit</t>
        </is>
      </c>
      <c r="C10" s="281" t="n"/>
      <c r="D10" s="281" t="n"/>
    </row>
    <row r="11">
      <c r="A11" s="281" t="inlineStr">
        <is>
          <t>Latest Completed Step</t>
        </is>
      </c>
      <c r="B11" s="281" t="inlineStr">
        <is>
          <t>STEP045B - Android real-network cleanup physical PASS</t>
        </is>
      </c>
      <c r="C11" s="281" t="n"/>
      <c r="D11" s="281" t="n"/>
    </row>
    <row r="12">
      <c r="A12" s="281" t="inlineStr">
        <is>
          <t>Current Active Milestone</t>
        </is>
      </c>
      <c r="B12" s="281" t="inlineStr">
        <is>
          <t>STEP046A Controlled Multi-Hop Lab Mode implementation/build PASS; physical validation pending.</t>
        </is>
      </c>
      <c r="C12" s="281" t="n"/>
      <c r="D12" s="281" t="n"/>
    </row>
    <row r="13">
      <c r="A13" s="281" t="inlineStr">
        <is>
          <t>STEP043 Physical Result</t>
        </is>
      </c>
      <c r="B13" s="281" t="inlineStr">
        <is>
          <t>PASS: Gateway A and Gateway B discover each other over compact BT1 HELLO packets; TEST_FINAL_001 from gatewayB to gatewayA was received.</t>
        </is>
      </c>
      <c r="C13" s="281" t="n"/>
      <c r="D13" s="281" t="n"/>
    </row>
    <row r="14">
      <c r="A14" s="281" t="inlineStr">
        <is>
          <t>STEP046A Problem</t>
        </is>
      </c>
      <c r="B14" s="281" t="inlineStr">
        <is>
          <t>Short-range indoor SX1278 bench causes nodeA1/nodeA2 to hear each other directly, preventing true gateway multi-hop validation.</t>
        </is>
      </c>
      <c r="C14" s="281" t="n"/>
      <c r="D14" s="281" t="n"/>
    </row>
    <row r="15">
      <c r="A15" s="281" t="inlineStr">
        <is>
          <t>STEP046A Fix</t>
        </is>
      </c>
      <c r="B15" s="281" t="inlineStr">
        <is>
          <t>Added TEST_FORCE_GATEWAY_ROUTE lab overlay that forces nodeA1/nodeA2 MESSAGE traffic through gatewayA/gatewayB only when enabled.</t>
        </is>
      </c>
      <c r="C15" s="281" t="n"/>
      <c r="D15" s="281" t="n"/>
    </row>
    <row r="16">
      <c r="A16" s="281" t="inlineStr">
        <is>
          <t>Validation Rules</t>
        </is>
      </c>
      <c r="B16" s="281" t="inlineStr">
        <is>
          <t>Validated rules: bad prefix, bad field count, malformed gatewayId JSON, strict HELLO identity semantics, and no neighbor learning after validation failure.</t>
        </is>
      </c>
      <c r="C16" s="281" t="n"/>
      <c r="D16" s="281" t="n"/>
    </row>
    <row r="17">
      <c r="A17" s="281" t="inlineStr">
        <is>
          <t>Next Validation Activity</t>
        </is>
      </c>
      <c r="B17" s="281" t="inlineStr">
        <is>
          <t>Build/flash with TEST_FORCE_GATEWAY_ROUTE=1 and confirm nodeA1 -&gt; gatewayA -&gt; gatewayB -&gt; nodeA2 plus reverse path.</t>
        </is>
      </c>
      <c r="C17" s="281" t="n"/>
      <c r="D17" s="281" t="n"/>
    </row>
    <row r="18">
      <c r="A18" s="281" t="inlineStr">
        <is>
          <t>Physical Expected Output</t>
        </is>
      </c>
      <c r="B18" s="281" t="inlineStr">
        <is>
          <t>Expected logs include [FORCED_ROUTE] and [FORWARD] gateway path evidence; Android should need no changes.</t>
        </is>
      </c>
      <c r="C18" s="281" t="n"/>
      <c r="D18" s="281" t="n"/>
    </row>
    <row r="19">
      <c r="A19" s="281" t="inlineStr">
        <is>
          <t>Next Recommended Action</t>
        </is>
      </c>
      <c r="B19" s="281" t="inlineStr">
        <is>
          <t>Run STEP046A physical lab-mode validation; do not start STEP042C/D unless explicitly routed.</t>
        </is>
      </c>
      <c r="C19" s="281" t="n"/>
      <c r="D19" s="281" t="n"/>
    </row>
    <row r="20">
      <c r="A20" s="281" t="inlineStr">
        <is>
          <t>Last Updated</t>
        </is>
      </c>
      <c r="B20" s="281" t="inlineStr">
        <is>
          <t>2026-06-07</t>
        </is>
      </c>
      <c r="C20" s="281" t="n"/>
      <c r="D20" s="281"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14"/>
  <sheetViews>
    <sheetView workbookViewId="0">
      <pane ySplit="4" topLeftCell="A5" activePane="bottomLeft" state="frozen"/>
      <selection pane="bottomLeft" activeCell="A1" sqref="A1"/>
    </sheetView>
  </sheetViews>
  <sheetFormatPr baseColWidth="8" defaultRowHeight="15"/>
  <cols>
    <col width="33" customWidth="1" style="51" min="1" max="1"/>
    <col width="42" customWidth="1" style="51" min="2" max="2"/>
    <col width="16" customWidth="1" style="51" min="3" max="3"/>
    <col width="16" customWidth="1" style="51" min="4" max="4"/>
  </cols>
  <sheetData>
    <row r="1">
      <c r="A1" s="278" t="inlineStr">
        <is>
          <t>AI Session Handoff</t>
        </is>
      </c>
    </row>
    <row r="2">
      <c r="A2" s="279" t="inlineStr">
        <is>
          <t>Last updated</t>
        </is>
      </c>
      <c r="B2" s="258" t="inlineStr">
        <is>
          <t>2026-06-07</t>
        </is>
      </c>
    </row>
    <row r="4">
      <c r="A4" s="280" t="inlineStr">
        <is>
          <t>Item</t>
        </is>
      </c>
      <c r="B4" s="280" t="inlineStr">
        <is>
          <t>STEP046A Controlled Multi-Hop Lab Mode implementation/build PASS; physical validation pending</t>
        </is>
      </c>
    </row>
    <row r="5">
      <c r="A5" s="281" t="inlineStr">
        <is>
          <t>Unfinished Implementation Tasks</t>
        </is>
      </c>
      <c r="B5" s="281" t="inlineStr">
        <is>
          <t>Unfinished: STEP046A physical lab-mode validation with TEST_FORCE_GATEWAY_ROUTE=1.</t>
        </is>
      </c>
      <c r="C5" s="281" t="n"/>
      <c r="D5" s="281" t="n"/>
    </row>
    <row r="6">
      <c r="A6" s="281" t="inlineStr">
        <is>
          <t>Pending Validation Tasks</t>
        </is>
      </c>
      <c r="B6" s="281" t="inlineStr">
        <is>
          <t>Flash gatewayA_lora, gatewayB_lora, nodeA1_lora, and nodeA2_lora with lab flag enabled; confirm forced gateway route logs both directions.</t>
        </is>
      </c>
      <c r="C6" s="281" t="n"/>
      <c r="D6" s="281" t="n"/>
    </row>
    <row r="7">
      <c r="A7" s="281" t="inlineStr">
        <is>
          <t>Latest AI Instructions</t>
        </is>
      </c>
      <c r="B7" s="281" t="inlineStr">
        <is>
          <t>Hybrid low-cost workflow: ChatGPT plans; Kimi/DeepSeek/Gemini via Roo perform cost-efficient coding; Codex reserved for premium repo execution/validation; local machine handles builds/tests/hardware.</t>
        </is>
      </c>
      <c r="C7" s="281" t="n"/>
      <c r="D7" s="281" t="n"/>
    </row>
    <row r="8">
      <c r="A8" s="281" t="inlineStr">
        <is>
          <t>Active Assumptions</t>
        </is>
      </c>
      <c r="B8" s="281" t="inlineStr">
        <is>
          <t>Production behavior remains unchanged because TEST_FORCE_GATEWAY_ROUTE defaults to 0. STEP045A/STEP045B behavior must remain non-regressed.</t>
        </is>
      </c>
      <c r="C8" s="281" t="n"/>
      <c r="D8" s="281" t="n"/>
    </row>
    <row r="9">
      <c r="A9" s="281" t="inlineStr">
        <is>
          <t>Pending Debugging Steps</t>
        </is>
      </c>
      <c r="B9" s="281" t="inlineStr">
        <is>
          <t>If future corrupt packets appear, capture [LORA_RX], [LORA_DROP_CORRUPT], [LORA_RELAY_PARSE], NEIGHBORS, and node table logs.</t>
        </is>
      </c>
      <c r="C9" s="281" t="n"/>
      <c r="D9" s="281" t="n"/>
    </row>
    <row r="10">
      <c r="A10" s="281" t="inlineStr">
        <is>
          <t>Expected Outputs From User</t>
        </is>
      </c>
      <c r="B10" s="281" t="inlineStr">
        <is>
          <t>Expected preserved outputs: normal compact BT1 validation/discovery; lab outputs: [FORCED_ROUTE] and [FORWARD] path evidence.</t>
        </is>
      </c>
      <c r="C10" s="281" t="n"/>
      <c r="D10" s="281" t="n"/>
    </row>
    <row r="11">
      <c r="A11" s="281" t="inlineStr">
        <is>
          <t>Pending Workbook Updates</t>
        </is>
      </c>
      <c r="B11" s="281" t="inlineStr">
        <is>
          <t>Workbook and continuity docs updated for STEP046A implementation/build PASS; final commit hash will be reported after push.</t>
        </is>
      </c>
      <c r="C11" s="281" t="n"/>
      <c r="D11" s="281" t="n"/>
    </row>
    <row r="12">
      <c r="A12" s="281" t="inlineStr">
        <is>
          <t>Current Model / Tool Used</t>
        </is>
      </c>
      <c r="B12" s="281" t="inlineStr">
        <is>
          <t>Codex used for focused ESP32 firmware lab-mode implementation, PlatformIO validation, workbook/docs update, commit/push.</t>
        </is>
      </c>
      <c r="C12" s="281" t="n"/>
      <c r="D12" s="281" t="n"/>
    </row>
    <row r="13">
      <c r="A13" s="281" t="inlineStr">
        <is>
          <t>Recommended Next Model / Tool</t>
        </is>
      </c>
      <c r="B13" s="281" t="inlineStr">
        <is>
          <t>Use Codex/local PlatformIO hardware bench for STEP046A physical lab validation after studying workbook and MD files.</t>
        </is>
      </c>
      <c r="C13" s="281" t="n"/>
      <c r="D13" s="281" t="n"/>
    </row>
    <row r="14">
      <c r="A14" s="281" t="inlineStr">
        <is>
          <t>Last Updated</t>
        </is>
      </c>
      <c r="B14" s="281" t="inlineStr">
        <is>
          <t>2026-06-07</t>
        </is>
      </c>
      <c r="C14" s="281" t="n"/>
      <c r="D14" s="281"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10"/>
  <sheetViews>
    <sheetView workbookViewId="0">
      <pane ySplit="4" topLeftCell="A5" activePane="bottomLeft" state="frozen"/>
      <selection pane="bottomLeft" activeCell="A1" sqref="A1"/>
    </sheetView>
  </sheetViews>
  <sheetFormatPr baseColWidth="8" defaultRowHeight="15"/>
  <cols>
    <col width="25" customWidth="1" style="51" min="1" max="1"/>
    <col width="20" customWidth="1" style="51" min="2" max="2"/>
    <col width="42" customWidth="1" style="51" min="3" max="3"/>
    <col width="16" customWidth="1" style="51" min="4" max="4"/>
  </cols>
  <sheetData>
    <row r="1">
      <c r="A1" s="278" t="inlineStr">
        <is>
          <t>Prompt Library</t>
        </is>
      </c>
    </row>
    <row r="2">
      <c r="A2" s="279" t="inlineStr">
        <is>
          <t>Last updated</t>
        </is>
      </c>
      <c r="B2" t="inlineStr">
        <is>
          <t>2026-05-15</t>
        </is>
      </c>
    </row>
    <row r="4">
      <c r="A4" s="280" t="inlineStr">
        <is>
          <t>Prompt Type</t>
        </is>
      </c>
      <c r="B4" s="280" t="inlineStr">
        <is>
          <t>Recommended Tool</t>
        </is>
      </c>
      <c r="C4" s="280" t="inlineStr">
        <is>
          <t>Reusable Prompt</t>
        </is>
      </c>
    </row>
    <row r="5">
      <c r="A5" s="281" t="inlineStr">
        <is>
          <t>Codex task</t>
        </is>
      </c>
      <c r="B5" s="281" t="inlineStr">
        <is>
          <t>Codex</t>
        </is>
      </c>
      <c r="C5" s="281" t="inlineStr">
        <is>
          <t>Use workbook as authoritative context. Continue from the next incomplete step. Modify only required files. Report changed files and one validation command/result. Avoid unrelated rewrites.</t>
        </is>
      </c>
      <c r="D5" s="281" t="n"/>
    </row>
    <row r="6">
      <c r="A6" s="281" t="inlineStr">
        <is>
          <t>Roo Kimi implementation</t>
        </is>
      </c>
      <c r="B6" s="281" t="inlineStr">
        <is>
          <t>Kimi K2.6</t>
        </is>
      </c>
      <c r="C6" s="281" t="inlineStr">
        <is>
          <t>Implement the approved workbook milestone using only these files/folders: &lt;scope&gt;. Preserve architecture and report changed files plus local validation steps.</t>
        </is>
      </c>
      <c r="D6" s="281" t="n"/>
    </row>
    <row r="7">
      <c r="A7" s="281" t="inlineStr">
        <is>
          <t>Roo DeepSeek small fix</t>
        </is>
      </c>
      <c r="B7" s="281" t="inlineStr">
        <is>
          <t>DeepSeek V3</t>
        </is>
      </c>
      <c r="C7" s="281" t="inlineStr">
        <is>
          <t>Apply this bounded fix in &lt;files&gt;. Do not scan unrelated folders. Keep changes minimal and report validation steps.</t>
        </is>
      </c>
      <c r="D7" s="281" t="n"/>
    </row>
    <row r="8">
      <c r="A8" s="281" t="inlineStr">
        <is>
          <t>Gemini documentation</t>
        </is>
      </c>
      <c r="B8" s="281" t="inlineStr">
        <is>
          <t>Gemini / Gemma API</t>
        </is>
      </c>
      <c r="C8" s="281" t="inlineStr">
        <is>
          <t>Draft concise workbook/documentation text for &lt;milestone&gt;. Keep it structured, low-token, and implementation-neutral.</t>
        </is>
      </c>
      <c r="D8" s="281" t="n"/>
    </row>
    <row r="9">
      <c r="A9" s="281" t="inlineStr">
        <is>
          <t>Local test report</t>
        </is>
      </c>
      <c r="B9" s="281" t="inlineStr">
        <is>
          <t>ChatGPT</t>
        </is>
      </c>
      <c r="C9" s="281" t="inlineStr">
        <is>
          <t>Analyze these screenshots/logs for workbook Step &lt;id&gt;. Decide pass/fail, likely issue, and next local test.</t>
        </is>
      </c>
      <c r="D9" s="281" t="n"/>
    </row>
    <row r="10">
      <c r="A10" s="281" t="inlineStr">
        <is>
          <t>Emergency offline</t>
        </is>
      </c>
      <c r="B10" s="281" t="inlineStr">
        <is>
          <t>Local Qwen</t>
        </is>
      </c>
      <c r="C10" s="281" t="inlineStr">
        <is>
          <t>Offline fallback: make a small targeted edit only in &lt;file&gt;. Do not scan the repo. Explain the patch and how to test locally.</t>
        </is>
      </c>
      <c r="D10" s="281" t="n"/>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3"/>
  <sheetViews>
    <sheetView workbookViewId="0">
      <pane ySplit="4" topLeftCell="A5" activePane="bottomLeft" state="frozen"/>
      <selection pane="bottomLeft" activeCell="A1" sqref="A1"/>
    </sheetView>
  </sheetViews>
  <sheetFormatPr baseColWidth="8" defaultRowHeight="15"/>
  <cols>
    <col width="25" customWidth="1" style="51" min="1" max="1"/>
    <col width="42" customWidth="1" style="51" min="2" max="2"/>
    <col width="42" customWidth="1" style="51" min="3" max="3"/>
    <col width="29" customWidth="1" style="51" min="4" max="4"/>
    <col width="17" customWidth="1" style="51" min="5" max="5"/>
    <col width="42" customWidth="1" style="51" min="6" max="6"/>
    <col width="26" customWidth="1" style="51" min="7" max="7"/>
    <col width="42" customWidth="1" style="51" min="8" max="8"/>
    <col width="42" customWidth="1" style="51" min="9" max="9"/>
  </cols>
  <sheetData>
    <row r="1">
      <c r="A1" s="278" t="inlineStr">
        <is>
          <t>Build Validation Matrix</t>
        </is>
      </c>
    </row>
    <row r="2">
      <c r="A2" s="279" t="inlineStr">
        <is>
          <t>Last updated</t>
        </is>
      </c>
      <c r="B2" s="258" t="inlineStr">
        <is>
          <t>2026-06-07</t>
        </is>
      </c>
    </row>
    <row r="4">
      <c r="A4" s="280" t="inlineStr">
        <is>
          <t>Component</t>
        </is>
      </c>
      <c r="B4" s="280" t="inlineStr">
        <is>
          <t>Build Status</t>
        </is>
      </c>
      <c r="C4" s="280" t="inlineStr">
        <is>
          <t>Runtime Status</t>
        </is>
      </c>
      <c r="D4" s="280" t="inlineStr">
        <is>
          <t>Deployment Status</t>
        </is>
      </c>
      <c r="E4" s="280" t="inlineStr">
        <is>
          <t>Validation Date</t>
        </is>
      </c>
      <c r="F4" s="280" t="inlineStr">
        <is>
          <t>Latest Test Result</t>
        </is>
      </c>
      <c r="G4" s="280" t="inlineStr">
        <is>
          <t>Model / Tool Used</t>
        </is>
      </c>
      <c r="H4" s="280" t="inlineStr">
        <is>
          <t>Validation Command / Evidence</t>
        </is>
      </c>
      <c r="I4" s="280" t="inlineStr">
        <is>
          <t>Remaining Issue</t>
        </is>
      </c>
    </row>
    <row r="5">
      <c r="A5" s="281" t="inlineStr">
        <is>
          <t>Android app</t>
        </is>
      </c>
      <c r="B5" s="281" t="inlineStr">
        <is>
          <t>STEP045B Android real-network cleanup build PASS / physical PASS</t>
        </is>
      </c>
      <c r="C5" s="281" t="inlineStr">
        <is>
          <t>Android Chat destination selection uses selected live discovered node; simulation fallback is labeled and only used when NODE_LIST is empty</t>
        </is>
      </c>
      <c r="D5" s="281" t="inlineStr">
        <is>
          <t>Physical Android phones on local test bench; temporary 2-node mapping active</t>
        </is>
      </c>
      <c r="E5" s="281" t="inlineStr">
        <is>
          <t>2026-06-07</t>
        </is>
      </c>
      <c r="F5" s="281" t="inlineStr">
        <is>
          <t>PASS: physical Android hardware validation accepted STEP045B.</t>
        </is>
      </c>
      <c r="G5" s="281" t="inlineStr">
        <is>
          <t>User physical validation; Codex continuity update</t>
        </is>
      </c>
      <c r="H5" s="281" t="inlineStr">
        <is>
          <t>Android-only cleanup in MainActivity.kt: live destination state from discoveredNodes, hardcoded peer mapping removed from Chat send, fallback destination only when NODE_LIST is empty and labeled fallback, simulation-era labels removed or marked fallback/lab state. Build: JAVA_HOME="/Applications/Android Studio.app/Contents/jbr/Contents/Home" ./gradlew :app:assembleDebug</t>
        </is>
      </c>
      <c r="I5" s="281" t="inlineStr">
        <is>
          <t>Continue from next workbook task; do not start STEP042C/D unless routed.</t>
        </is>
      </c>
    </row>
    <row r="6">
      <c r="A6" s="281" t="inlineStr">
        <is>
          <t>ESP32 firmware</t>
        </is>
      </c>
      <c r="B6" s="281" t="inlineStr">
        <is>
          <t>STEP046A controlled multi-hop lab mode build PASS; STEP045A discovery physical PASS preserved</t>
        </is>
      </c>
      <c r="C6" s="281" t="inlineStr">
        <is>
          <t>Production default remains TEST_FORCE_GATEWAY_ROUTE=0; lab mode can force nodeA1/nodeA2 messages through gatewayA/gatewayB when explicitly enabled.</t>
        </is>
      </c>
      <c r="D6" s="281" t="inlineStr">
        <is>
          <t>Local PlatformIO build validated; physical lab-mode flash/test pending; nodeA3 not deployed.</t>
        </is>
      </c>
      <c r="E6" s="281" t="inlineStr">
        <is>
          <t>2026-06-07</t>
        </is>
      </c>
      <c r="F6" s="281" t="inlineStr">
        <is>
          <t>PASS: four ESP32 LoRa environments built successfully for STEP046A.</t>
        </is>
      </c>
      <c r="G6" s="281" t="inlineStr">
        <is>
          <t>Codex + PlatformIO</t>
        </is>
      </c>
      <c r="H6" s="281" t="inlineStr">
        <is>
          <t>pio run -e gatewayA_lora -e gatewayB_lora -e nodeA1_lora -e nodeA2_lora; git diff --check PASS.</t>
        </is>
      </c>
      <c r="I6" s="281" t="inlineStr">
        <is>
          <t>Physical lab validation pending with TEST_FORCE_GATEWAY_ROUTE=1.</t>
        </is>
      </c>
    </row>
    <row r="7">
      <c r="A7" s="281" t="inlineStr">
        <is>
          <t>RPi gateway simulator</t>
        </is>
      </c>
      <c r="B7" s="281" t="inlineStr">
        <is>
          <t>Python tests passed</t>
        </is>
      </c>
      <c r="C7" s="281" t="inlineStr">
        <is>
          <t>Simulation demos passed</t>
        </is>
      </c>
      <c r="D7" s="281" t="inlineStr">
        <is>
          <t>Local simulation only</t>
        </is>
      </c>
      <c r="E7" s="281" t="inlineStr">
        <is>
          <t>2026-05-23</t>
        </is>
      </c>
      <c r="F7" s="281" t="inlineStr">
        <is>
          <t>Prior gateway simulator tests remain historical; current backhaul target is Tailscale VPN between RPi3B gateways</t>
        </is>
      </c>
      <c r="G7" s="281" t="inlineStr">
        <is>
          <t>Codex</t>
        </is>
      </c>
      <c r="H7" s="281" t="inlineStr">
        <is>
          <t>Future validation: Tailscale peer IP config, relay API/socket, queue, link monitoring</t>
        </is>
      </c>
      <c r="I7" s="281" t="inlineStr">
        <is>
          <t>Tailscale gateway implementation not yet validated</t>
        </is>
      </c>
    </row>
    <row r="8">
      <c r="A8" s="281" t="inlineStr">
        <is>
          <t>RPi gateway backhaul</t>
        </is>
      </c>
      <c r="B8" s="281" t="inlineStr">
        <is>
          <t>STEP040B TCP relay validated</t>
        </is>
      </c>
      <c r="C8" s="281" t="inlineStr">
        <is>
          <t>Gateway-to-gateway encrypted internet tunnel operational through Tailscale; ACK and heartbeat worked</t>
        </is>
      </c>
      <c r="D8" s="281" t="inlineStr">
        <is>
          <t>pup-gateway-a 100.123.79.41 -&gt; pup-gateway-b 100.79.214.18 over TCP 5050</t>
        </is>
      </c>
      <c r="E8" s="281" t="inlineStr">
        <is>
          <t>2026-05-24</t>
        </is>
      </c>
      <c r="F8" s="281" t="inlineStr">
        <is>
          <t>Python gateway TCP relay successfully transferred JSON messages from Gateway A to Gateway B through Tailscale VPN.</t>
        </is>
      </c>
      <c r="G8" s="281" t="inlineStr">
        <is>
          <t>User + local RPi/Tailscale hardware; Codex continuity update</t>
        </is>
      </c>
      <c r="H8" s="281"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I8" s="281" t="inlineStr">
        <is>
          <t>STEP041 ESP32-to-Raspberry Pi serial bridge integration pending; LoRa backup backhaul and optional GSM fallback remain future work</t>
        </is>
      </c>
    </row>
    <row r="9">
      <c r="A9" s="281" t="inlineStr">
        <is>
          <t>STEP043 ESP32 HELLO format</t>
        </is>
      </c>
      <c r="B9" s="281" t="inlineStr">
        <is>
          <t>PASS</t>
        </is>
      </c>
      <c r="C9" s="281" t="inlineStr">
        <is>
          <t>Corrected compact BT1 HELLO receiver-side fix built; physical reciprocal discovery pending</t>
        </is>
      </c>
      <c r="D9" s="281" t="inlineStr">
        <is>
          <t>Local PlatformIO build only; flash gatewayA_lora/gatewayB_lora next</t>
        </is>
      </c>
      <c r="E9" s="281" t="inlineStr">
        <is>
          <t>2026-06-06</t>
        </is>
      </c>
      <c r="F9" s="281" t="inlineStr">
        <is>
          <t>Build PASS: pio run -e gatewayA_lora -e gatewayB_lora; pio run -e nodeA1_lora -e nodeA2_lora.</t>
        </is>
      </c>
      <c r="G9" s="281" t="inlineStr">
        <is>
          <t>Codex + PlatformIO</t>
        </is>
      </c>
      <c r="H9" s="281" t="inlineStr">
        <is>
          <t>Commands: pio run -e gatewayA_lora -e gatewayB_lora; pio run -e nodeA1_lora -e nodeA2_lora. Protocol decision: keep compact BT1 LoRa relay packets as the current firmware protocol because nodeA1/nodeA2 routing already works with compact packets.</t>
        </is>
      </c>
      <c r="I9" s="281" t="n"/>
    </row>
    <row r="10" s="51">
      <c r="A10" s="281" t="inlineStr">
        <is>
          <t>STEP044 strict BT1 validation</t>
        </is>
      </c>
      <c r="B10" s="281" t="inlineStr">
        <is>
          <t>Build PASS / Physical PASS</t>
        </is>
      </c>
      <c r="C10" s="281" t="inlineStr">
        <is>
          <t>Strict compact BT1 validation physically validated; corrupt packets rejected; valid HELLO packets parse.</t>
        </is>
      </c>
      <c r="D10" s="281" t="inlineStr">
        <is>
          <t>Flashed/tested on gatewayA, gatewayB, nodeA1, nodeA2</t>
        </is>
      </c>
      <c r="E10" s="281" t="inlineStr">
        <is>
          <t>2026-06-06</t>
        </is>
      </c>
      <c r="F10" s="281" t="inlineStr">
        <is>
          <t>Build PASS after corrective fix: pio run -e gatewayA_lora -e gatewayB_lora -e nodeA1_lora -e nodeA2_lora. Physical PASS under RF stress with four active LoRa nodes.</t>
        </is>
      </c>
      <c r="G10" s="281" t="inlineStr">
        <is>
          <t>Codex + PlatformIO</t>
        </is>
      </c>
      <c r="H10" s="281"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0" s="281" t="n"/>
    </row>
    <row r="11" s="51">
      <c r="A11" s="281" t="inlineStr">
        <is>
          <t>STEP045A mesh-wide presence propagation</t>
        </is>
      </c>
      <c r="B11" s="281" t="inlineStr">
        <is>
          <t>Build PASS / Physical PASS</t>
        </is>
      </c>
      <c r="C11" s="281" t="inlineStr">
        <is>
          <t>Validated HELLO presence propagates mesh-wide so Android-connected node tables learn gatewayB.</t>
        </is>
      </c>
      <c r="D11" s="281" t="inlineStr">
        <is>
          <t>Flashed/tested on gatewayA, gatewayB, nodeA1, nodeA2</t>
        </is>
      </c>
      <c r="E11" s="281" t="inlineStr">
        <is>
          <t>2026-06-07</t>
        </is>
      </c>
      <c r="F11" s="281" t="inlineStr">
        <is>
          <t>Build PASS: pio run -e gatewayA_lora -e gatewayB_lora -e nodeA1_lora -e nodeA2_lora. Physical PASS: Android Nodes includes gatewayB ONLINE.</t>
        </is>
      </c>
      <c r="G11" s="281" t="inlineStr">
        <is>
          <t>Codex + PlatformIO + user physical validation</t>
        </is>
      </c>
      <c r="H11" s="281"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Physical Android validation PASS after flashing gatewayA, gatewayB, nodeA1, and nodeA2. Android Nodes shows Gateway A: nodeA1 ONLINE, gatewayA ONLINE, nodeA2 ONLINE; Gateway B: gatewayB ONLINE.</t>
        </is>
      </c>
      <c r="I11" s="281" t="inlineStr">
        <is>
          <t>STEP045B Android cleanup pending.</t>
        </is>
      </c>
    </row>
    <row r="12" s="51">
      <c r="A12" s="281" t="inlineStr">
        <is>
          <t>STEP045B Android real-network cleanup</t>
        </is>
      </c>
      <c r="B12" s="281" t="inlineStr">
        <is>
          <t>Build PASS / Physical PASS</t>
        </is>
      </c>
      <c r="C12" s="281" t="inlineStr">
        <is>
          <t>Android UI and Chat destination selection use live discovered nodes.</t>
        </is>
      </c>
      <c r="D12" s="281" t="inlineStr">
        <is>
          <t>Physical Android hardware; APK built locally with Android Studio JBR</t>
        </is>
      </c>
      <c r="E12" s="281" t="inlineStr">
        <is>
          <t>2026-06-07</t>
        </is>
      </c>
      <c r="F12" s="281" t="inlineStr">
        <is>
          <t>Build PASS and physical Android validation PASS.</t>
        </is>
      </c>
      <c r="G12" s="281" t="inlineStr">
        <is>
          <t>Codex + Gradle + user physical validation</t>
        </is>
      </c>
      <c r="H12" s="281" t="inlineStr">
        <is>
          <t>JAVA_HOME="/Applications/Android Studio.app/Contents/jbr/Contents/Home" ./gradlew :app:assembleDebug; physical validation passed on Android hardware.</t>
        </is>
      </c>
      <c r="I12" s="281" t="inlineStr">
        <is>
          <t>Continue from next workbook task; nodeA3 not deployed.</t>
        </is>
      </c>
    </row>
    <row r="13">
      <c r="A13" s="281" t="inlineStr">
        <is>
          <t>STEP046A controlled multi-hop lab mode</t>
        </is>
      </c>
      <c r="B13" s="281" t="inlineStr">
        <is>
          <t>Build PASS / Physical pending</t>
        </is>
      </c>
      <c r="C13" s="281" t="inlineStr">
        <is>
          <t>Forced gateway route lab overlay implemented; production default remains unchanged.</t>
        </is>
      </c>
      <c r="D13" s="281" t="inlineStr">
        <is>
          <t>Flash/test pending on gatewayA, gatewayB, nodeA1, nodeA2 with TEST_FORCE_GATEWAY_ROUTE=1.</t>
        </is>
      </c>
      <c r="E13" s="281" t="inlineStr">
        <is>
          <t>2026-06-07</t>
        </is>
      </c>
      <c r="F13" s="281" t="inlineStr">
        <is>
          <t>Build PASS for gatewayA_lora, gatewayB_lora, nodeA1_lora, nodeA2_lora.</t>
        </is>
      </c>
      <c r="G13" s="281" t="inlineStr">
        <is>
          <t>Codex + PlatformIO</t>
        </is>
      </c>
      <c r="H13" s="281" t="inlineStr">
        <is>
          <t>pio run -e gatewayA_lora -e gatewayB_lora -e nodeA1_lora -e nodeA2_lora; expected logs [FORCED_ROUTE] and [FORWARD] for nodeA1 -&gt; gatewayA -&gt; gatewayB -&gt; nodeA2 and reverse.</t>
        </is>
      </c>
      <c r="I13" s="281" t="inlineStr">
        <is>
          <t>Physical forced-route validation pending.</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38" customWidth="1" style="51" min="1" max="1"/>
    <col width="42" customWidth="1" style="51" min="2" max="2"/>
    <col width="42" customWidth="1" style="51" min="3" max="3"/>
    <col width="16" customWidth="1" style="51" min="4" max="4"/>
  </cols>
  <sheetData>
    <row r="1">
      <c r="A1" s="278" t="inlineStr">
        <is>
          <t>Environment Snapshot</t>
        </is>
      </c>
    </row>
    <row r="2">
      <c r="A2" s="279" t="inlineStr">
        <is>
          <t>Last updated</t>
        </is>
      </c>
      <c r="B2" t="inlineStr">
        <is>
          <t>2026-05-15</t>
        </is>
      </c>
    </row>
    <row r="4">
      <c r="A4" s="280" t="inlineStr">
        <is>
          <t>Category</t>
        </is>
      </c>
      <c r="B4" s="280" t="inlineStr">
        <is>
          <t>Current Value</t>
        </is>
      </c>
      <c r="C4" s="280" t="inlineStr">
        <is>
          <t>Notes</t>
        </is>
      </c>
    </row>
    <row r="5">
      <c r="A5" s="281" t="inlineStr">
        <is>
          <t>Local machine</t>
        </is>
      </c>
      <c r="B5" s="281" t="inlineStr">
        <is>
          <t>MacBook Pro M1 Max</t>
        </is>
      </c>
      <c r="C5" s="281" t="inlineStr">
        <is>
          <t>Primary development/testing machine</t>
        </is>
      </c>
      <c r="D5" s="281" t="n"/>
    </row>
    <row r="6">
      <c r="A6" s="281" t="inlineStr">
        <is>
          <t>Main IDE</t>
        </is>
      </c>
      <c r="B6" s="281" t="inlineStr">
        <is>
          <t>VS Code + Roo Code</t>
        </is>
      </c>
      <c r="C6" s="281" t="inlineStr">
        <is>
          <t>Primary AI-assisted coding interface</t>
        </is>
      </c>
      <c r="D6" s="281" t="n"/>
    </row>
    <row r="7">
      <c r="A7" s="281" t="inlineStr">
        <is>
          <t>Android IDE</t>
        </is>
      </c>
      <c r="B7" s="281" t="inlineStr">
        <is>
          <t>Android Studio</t>
        </is>
      </c>
      <c r="C7" s="281" t="inlineStr">
        <is>
          <t>Local Gradle/device testing</t>
        </is>
      </c>
      <c r="D7" s="281" t="n"/>
    </row>
    <row r="8">
      <c r="A8" s="281" t="inlineStr">
        <is>
          <t>ESP32 IDE/tooling</t>
        </is>
      </c>
      <c r="B8" s="281" t="inlineStr">
        <is>
          <t>VS Code + PlatformIO</t>
        </is>
      </c>
      <c r="C8" s="281" t="inlineStr">
        <is>
          <t>Local build/upload/serial monitor</t>
        </is>
      </c>
      <c r="D8" s="281" t="n"/>
    </row>
    <row r="9">
      <c r="A9" s="281" t="inlineStr">
        <is>
          <t>Raspberry Pi hardware</t>
        </is>
      </c>
      <c r="B9" s="281" t="inlineStr">
        <is>
          <t>2x Raspberry Pi 3B</t>
        </is>
      </c>
      <c r="C9" s="281" t="inlineStr">
        <is>
          <t>RPI A 192.168.50.41, RPI B 192.168.50.42</t>
        </is>
      </c>
      <c r="D9" s="281" t="n"/>
    </row>
    <row r="10">
      <c r="A10" s="281" t="inlineStr">
        <is>
          <t>Routers</t>
        </is>
      </c>
      <c r="B10" s="281" t="inlineStr">
        <is>
          <t>2x TP-Link TL-WR842N</t>
        </is>
      </c>
      <c r="C10" s="281" t="inlineStr">
        <is>
          <t>Router A/MGateway1 192.168.50.1; Router B/MGateway2 192.168.50.102 Universal Repeater</t>
        </is>
      </c>
      <c r="D10" s="281" t="n"/>
    </row>
    <row r="11">
      <c r="A11" s="281" t="inlineStr">
        <is>
          <t>ESP32 nodes</t>
        </is>
      </c>
      <c r="B11" s="281" t="inlineStr">
        <is>
          <t>2x ESP32 + LoRa currently validated</t>
        </is>
      </c>
      <c r="C11" s="281" t="inlineStr">
        <is>
          <t>NODE_A and NODE_B</t>
        </is>
      </c>
      <c r="D11" s="281" t="n"/>
    </row>
    <row r="12">
      <c r="A12" s="281" t="inlineStr">
        <is>
          <t>Current repo branch</t>
        </is>
      </c>
      <c r="B12" s="281" t="inlineStr">
        <is>
          <t>step-002-003-esp32-simulation</t>
        </is>
      </c>
      <c r="C12" s="281" t="inlineStr">
        <is>
          <t>Record branch/commit for every test campaign run</t>
        </is>
      </c>
      <c r="D12" s="281" t="n"/>
    </row>
    <row r="13">
      <c r="A13" s="281" t="inlineStr">
        <is>
          <t>Current commit for Step 8.1 evidence</t>
        </is>
      </c>
      <c r="B13" s="281" t="inlineStr">
        <is>
          <t>9c68b0c</t>
        </is>
      </c>
      <c r="C13" s="281" t="inlineStr">
        <is>
          <t>Latest referenced GitHub state before baseline test</t>
        </is>
      </c>
      <c r="D13" s="281" t="n"/>
    </row>
    <row r="14">
      <c r="A14" s="281" t="inlineStr">
        <is>
          <t>Roo profiles</t>
        </is>
      </c>
      <c r="B14" s="281" t="inlineStr">
        <is>
          <t>Kimi Main; DeepSeek Cheap; Gemini Online; Gemma Online; Local Qwen Emergency</t>
        </is>
      </c>
      <c r="C14" s="281" t="inlineStr">
        <is>
          <t>Configure locally as available</t>
        </is>
      </c>
      <c r="D14" s="281" t="n"/>
    </row>
    <row r="15">
      <c r="A15" s="281" t="inlineStr">
        <is>
          <t>Last Updated</t>
        </is>
      </c>
      <c r="B15" s="281" t="inlineStr">
        <is>
          <t>2026-05-15</t>
        </is>
      </c>
      <c r="C15" s="281" t="inlineStr">
        <is>
          <t>Update after major environment/config changes</t>
        </is>
      </c>
      <c r="D15" s="281" t="n"/>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19"/>
  <sheetViews>
    <sheetView workbookViewId="0">
      <pane ySplit="4" topLeftCell="A5" activePane="bottomLeft" state="frozen"/>
      <selection pane="bottomLeft" activeCell="A1" sqref="A1"/>
    </sheetView>
  </sheetViews>
  <sheetFormatPr baseColWidth="8" defaultRowHeight="15"/>
  <cols>
    <col width="22" customWidth="1" style="51" min="1" max="1"/>
    <col width="42" customWidth="1" style="51" min="2" max="2"/>
    <col width="23" customWidth="1" style="51" min="3" max="3"/>
    <col width="42" customWidth="1" style="51" min="4" max="4"/>
    <col width="42" customWidth="1" style="51" min="5" max="5"/>
    <col width="19" customWidth="1" style="51" min="6" max="6"/>
    <col width="42" customWidth="1" style="51" min="7" max="7"/>
  </cols>
  <sheetData>
    <row r="1">
      <c r="A1" s="278" t="inlineStr">
        <is>
          <t>AI Model Routing Log</t>
        </is>
      </c>
    </row>
    <row r="2">
      <c r="A2" s="279" t="inlineStr">
        <is>
          <t>Last updated</t>
        </is>
      </c>
      <c r="B2" t="inlineStr">
        <is>
          <t>2026-06-07</t>
        </is>
      </c>
    </row>
    <row r="4">
      <c r="A4" s="280" t="inlineStr">
        <is>
          <t>Date</t>
        </is>
      </c>
      <c r="B4" s="280" t="inlineStr">
        <is>
          <t>Task</t>
        </is>
      </c>
      <c r="C4" s="280" t="inlineStr">
        <is>
          <t>Selected Model / Tool</t>
        </is>
      </c>
      <c r="D4" s="280" t="inlineStr">
        <is>
          <t>Reason Selected</t>
        </is>
      </c>
      <c r="E4" s="280" t="inlineStr">
        <is>
          <t>Result</t>
        </is>
      </c>
      <c r="F4" s="280" t="inlineStr">
        <is>
          <t>Escalation Needed</t>
        </is>
      </c>
      <c r="G4" s="280" t="inlineStr">
        <is>
          <t>Next Recommended Model / Tool</t>
        </is>
      </c>
    </row>
    <row r="5">
      <c r="A5" s="281" t="inlineStr">
        <is>
          <t>2026-05-15</t>
        </is>
      </c>
      <c r="B5" s="281" t="inlineStr">
        <is>
          <t>Adopt hybrid low-cost AI workflow and update workbook memory sheets</t>
        </is>
      </c>
      <c r="C5" s="281" t="inlineStr">
        <is>
          <t>Codex</t>
        </is>
      </c>
      <c r="D5" s="281" t="inlineStr">
        <is>
          <t>User requested current workbook update; direct workbook edit needed in repo</t>
        </is>
      </c>
      <c r="E5" s="281" t="inlineStr">
        <is>
          <t>Workbook AI workflow sheets added/updated</t>
        </is>
      </c>
      <c r="F5" s="281" t="inlineStr">
        <is>
          <t>No</t>
        </is>
      </c>
      <c r="G5" s="281" t="inlineStr">
        <is>
          <t>Local machine for Step 8.1 test; ChatGPT for analysis</t>
        </is>
      </c>
    </row>
    <row r="6">
      <c r="A6" s="281" t="inlineStr">
        <is>
          <t>2026-05-22</t>
        </is>
      </c>
      <c r="B6" s="281" t="inlineStr">
        <is>
          <t>Record STEP035 physical LoRa success and route next task to STEP036</t>
        </is>
      </c>
      <c r="C6" s="281" t="inlineStr">
        <is>
          <t>Codex</t>
        </is>
      </c>
      <c r="D6" s="281" t="inlineStr">
        <is>
          <t>User requested continuity/workbook update and docs-only commit</t>
        </is>
      </c>
      <c r="E6" s="281" t="inlineStr">
        <is>
          <t>STEP035 recorded; STEP036 becomes next incomplete task</t>
        </is>
      </c>
      <c r="F6" s="281" t="inlineStr">
        <is>
          <t>No</t>
        </is>
      </c>
      <c r="G6" s="281" t="inlineStr">
        <is>
          <t>Kimi/Android Studio for STEP036 implementation; Codex for focused validation</t>
        </is>
      </c>
    </row>
    <row r="7">
      <c r="A7" s="281" t="inlineStr">
        <is>
          <t>2026-05-22</t>
        </is>
      </c>
      <c r="B7" s="281" t="inlineStr">
        <is>
          <t>Record STEP036 Chat UI validation pass and route next task to STEP037</t>
        </is>
      </c>
      <c r="C7" s="281" t="inlineStr">
        <is>
          <t>Codex</t>
        </is>
      </c>
      <c r="D7" s="281" t="inlineStr">
        <is>
          <t>User requested workbook-only continuity update and workbook-only commit</t>
        </is>
      </c>
      <c r="E7" s="281" t="inlineStr">
        <is>
          <t>STEP036 recorded; STEP037 becomes next incomplete task</t>
        </is>
      </c>
      <c r="F7" s="281" t="inlineStr">
        <is>
          <t>No</t>
        </is>
      </c>
      <c r="G7" s="281" t="inlineStr">
        <is>
          <t>Kimi/local tools for STEP037 implementation; Codex for focused validation</t>
        </is>
      </c>
    </row>
    <row r="8">
      <c r="A8" s="281" t="inlineStr">
        <is>
          <t>2026-05-22</t>
        </is>
      </c>
      <c r="B8" s="281" t="inlineStr">
        <is>
          <t>Record STEP037 multi-hop foundation validation and route next task to STEP038</t>
        </is>
      </c>
      <c r="C8" s="281" t="inlineStr">
        <is>
          <t>Codex</t>
        </is>
      </c>
      <c r="D8" s="281" t="inlineStr">
        <is>
          <t>User requested workbook + continuity MD update and scoped commit</t>
        </is>
      </c>
      <c r="E8" s="281" t="inlineStr">
        <is>
          <t>STEP037 recorded; STEP038 becomes next incomplete task</t>
        </is>
      </c>
      <c r="F8" s="281" t="inlineStr">
        <is>
          <t>No</t>
        </is>
      </c>
      <c r="G8" s="281" t="inlineStr">
        <is>
          <t>Local hardware bench/Android/PlatformIO for STEP038; Codex for focused validation</t>
        </is>
      </c>
    </row>
    <row r="9">
      <c r="A9" s="281" t="inlineStr">
        <is>
          <t>2026-05-23</t>
        </is>
      </c>
      <c r="B9" s="281" t="inlineStr">
        <is>
          <t>Record RPi3B Tailscale gateway backhaul architecture update</t>
        </is>
      </c>
      <c r="C9" s="281" t="inlineStr">
        <is>
          <t>Codex</t>
        </is>
      </c>
      <c r="D9" s="281" t="inlineStr">
        <is>
          <t>User requested workbook + continuity MD architecture update and scoped commit</t>
        </is>
      </c>
      <c r="E9" s="281" t="inlineStr">
        <is>
          <t>Architecture updated; STEP038 remains current; STEP039 added as next design milestone</t>
        </is>
      </c>
      <c r="F9" s="281" t="inlineStr">
        <is>
          <t>No</t>
        </is>
      </c>
      <c r="G9" s="281" t="inlineStr">
        <is>
          <t>Local RPi/Tailscale tools for validation; Codex for focused validation</t>
        </is>
      </c>
    </row>
    <row r="10" s="51">
      <c r="A10" s="281" t="inlineStr">
        <is>
          <t>2026-05-23</t>
        </is>
      </c>
      <c r="B10" s="281" t="inlineStr">
        <is>
          <t>Finalize STEP039 Tailscale primary + LoRa backup gateway architecture</t>
        </is>
      </c>
      <c r="C10" s="281" t="inlineStr">
        <is>
          <t>Codex</t>
        </is>
      </c>
      <c r="D10" s="281" t="inlineStr">
        <is>
          <t>User requested workbook + continuity docs update only</t>
        </is>
      </c>
      <c r="E10" s="281" t="inlineStr">
        <is>
          <t>STEP039 architecture finalized; implementation remains unvalidated</t>
        </is>
      </c>
      <c r="F10" s="281" t="inlineStr">
        <is>
          <t>No</t>
        </is>
      </c>
      <c r="G10" s="281" t="inlineStr">
        <is>
          <t>Local RPi/Tailscale tools for future validation; Codex for focused validation</t>
        </is>
      </c>
    </row>
    <row r="11" s="51">
      <c r="A11" s="281" t="inlineStr">
        <is>
          <t>2026-05-24</t>
        </is>
      </c>
      <c r="B11" s="281" t="inlineStr">
        <is>
          <t>Record STEP040B Tailscale TCP relay validation and route next task to STEP041</t>
        </is>
      </c>
      <c r="C11" s="281" t="inlineStr">
        <is>
          <t>Codex</t>
        </is>
      </c>
      <c r="D11" s="281" t="inlineStr">
        <is>
          <t>User requested workbook + continuity docs update and scoped commit after physical RPi/Tailscale validation</t>
        </is>
      </c>
      <c r="E11" s="281" t="inlineStr">
        <is>
          <t>STEP040B recorded; STEP041 becomes next incomplete task</t>
        </is>
      </c>
      <c r="F11" s="281" t="inlineStr">
        <is>
          <t>No</t>
        </is>
      </c>
      <c r="G11" s="281" t="inlineStr">
        <is>
          <t>Local ESP32/RPi USB serial hardware tools for STEP041; Codex for focused validation</t>
        </is>
      </c>
    </row>
    <row r="12" s="51">
      <c r="A12" s="281" t="inlineStr">
        <is>
          <t>2026-06-04</t>
        </is>
      </c>
      <c r="B12" s="281" t="inlineStr">
        <is>
          <t>Record STEP042A discovery export fix and pending physical acceptance</t>
        </is>
      </c>
      <c r="C12" s="281" t="inlineStr">
        <is>
          <t>Codex</t>
        </is>
      </c>
      <c r="D12" s="281" t="inlineStr">
        <is>
          <t>User requested workbook + continuity docs update after firmware root cause/fix and build validation</t>
        </is>
      </c>
      <c r="E12" s="281" t="inlineStr">
        <is>
          <t>STEP042A root cause/fix recorded; STEP042A remains pending physical Android acceptance</t>
        </is>
      </c>
      <c r="F12" s="281" t="inlineStr">
        <is>
          <t>No</t>
        </is>
      </c>
      <c r="G12" s="281" t="inlineStr">
        <is>
          <t>Local ESP32/Android hardware validation for STEP042A; do not start STEP042B</t>
        </is>
      </c>
    </row>
    <row r="13">
      <c r="A13" s="281" t="inlineStr">
        <is>
          <t>2026-06-05</t>
        </is>
      </c>
      <c r="B13" s="281" t="inlineStr">
        <is>
          <t>Record STEP042A/STEP042B physical validation checkpoint</t>
        </is>
      </c>
      <c r="C13" s="281" t="inlineStr">
        <is>
          <t>Codex</t>
        </is>
      </c>
      <c r="D13" s="281" t="inlineStr">
        <is>
          <t>User requested workbook + continuity docs update and scoped commit only</t>
        </is>
      </c>
      <c r="E13" s="281" t="inlineStr">
        <is>
          <t>STEP042A A-side discovery PASS and STEP042B 2-node messaging PASS recorded; next activity set to gatewayB discovery and live destination selection</t>
        </is>
      </c>
      <c r="F13" s="281" t="inlineStr">
        <is>
          <t>No</t>
        </is>
      </c>
      <c r="G13" s="281" t="inlineStr">
        <is>
          <t>Local hardware validation for gatewayB discovery; Codex for focused debug/update</t>
        </is>
      </c>
    </row>
    <row r="14">
      <c r="A14" s="281" t="inlineStr">
        <is>
          <t>2026-06-05</t>
        </is>
      </c>
      <c r="B14" s="281" t="inlineStr">
        <is>
          <t>STEP043 LoRa HELLO packet format fix</t>
        </is>
      </c>
      <c r="C14" s="281" t="inlineStr">
        <is>
          <t>Codex</t>
        </is>
      </c>
      <c r="D14" s="281" t="inlineStr">
        <is>
          <t>Hardware-facing parser/debug fix with local build validation</t>
        </is>
      </c>
      <c r="E14" s="281" t="inlineStr">
        <is>
          <t>HELLO sender switched to BT-MANET JSON; four PlatformIO LoRa builds passed</t>
        </is>
      </c>
      <c r="F14" s="281" t="inlineStr">
        <is>
          <t>No</t>
        </is>
      </c>
      <c r="G14" s="281" t="inlineStr">
        <is>
          <t>Local hardware validation for reciprocal gateway discovery</t>
        </is>
      </c>
    </row>
    <row r="15">
      <c r="A15" s="281" t="inlineStr">
        <is>
          <t>2026-06-06</t>
        </is>
      </c>
      <c r="B15" s="281" t="inlineStr">
        <is>
          <t>STEP043 compact BT1 HELLO correction</t>
        </is>
      </c>
      <c r="C15" s="281" t="inlineStr">
        <is>
          <t>Codex</t>
        </is>
      </c>
      <c r="D15" s="281" t="inlineStr">
        <is>
          <t>Physical validation failure required terminal-aware firmware correction and build validation</t>
        </is>
      </c>
      <c r="E15" s="281" t="inlineStr">
        <is>
          <t>Final protocol kept compact BT1; receiver logs/parses/learns HELLO before duplicate/drop; four PlatformIO builds passed</t>
        </is>
      </c>
      <c r="F15" s="281" t="inlineStr">
        <is>
          <t>No</t>
        </is>
      </c>
      <c r="G15" s="281" t="inlineStr">
        <is>
          <t>Local hardware validation for compact BT1 reciprocal gateway discovery</t>
        </is>
      </c>
    </row>
    <row r="16" s="51">
      <c r="A16" s="281" t="inlineStr">
        <is>
          <t>2026-06-06</t>
        </is>
      </c>
      <c r="B16" s="281" t="inlineStr">
        <is>
          <t>STEP044 strict compact BT1 validation</t>
        </is>
      </c>
      <c r="C16" s="281" t="inlineStr">
        <is>
          <t>Codex</t>
        </is>
      </c>
      <c r="D16" s="281" t="inlineStr">
        <is>
          <t>Codex used for focused physical-validation failure fix, build validation, workbook/docs update, commit/push.</t>
        </is>
      </c>
      <c r="E16" s="281" t="inlineStr">
        <is>
          <t>Strict compact validation added; corrupt packets drop before neighbor learning/routing; four PlatformIO builds passed</t>
        </is>
      </c>
      <c r="F16" s="281" t="inlineStr">
        <is>
          <t>STEP044 physical validation PASS / COMPLETE.</t>
        </is>
      </c>
      <c r="G16" s="281" t="inlineStr">
        <is>
          <t>Local physical corrupt-packet validation</t>
        </is>
      </c>
      <c r="H16" s="258"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row>
    <row r="17" s="51">
      <c r="A17" s="281" t="inlineStr">
        <is>
          <t>2026-06-07</t>
        </is>
      </c>
      <c r="B17" s="281" t="inlineStr">
        <is>
          <t>STEP045A mesh-wide presence propagation</t>
        </is>
      </c>
      <c r="C17" s="281" t="inlineStr">
        <is>
          <t>Codex</t>
        </is>
      </c>
      <c r="D17" s="281" t="inlineStr">
        <is>
          <t>Codex used for focused ESP32 firmware propagation fix, PlatformIO validation, workbook/docs update, commit/push.</t>
        </is>
      </c>
      <c r="E17" s="281" t="inlineStr">
        <is>
          <t>HELLO relay cache added; valid compact BT1 HELLO presence propagates mesh-wide; four PlatformIO builds passed; physical Android validation PASS.</t>
        </is>
      </c>
      <c r="F17" s="281" t="inlineStr">
        <is>
          <t>No</t>
        </is>
      </c>
      <c r="G17" s="281" t="inlineStr">
        <is>
          <t>STEP045B Android Real-Network Cleanup</t>
        </is>
      </c>
      <c r="H17" s="49" t="inlineStr">
        <is>
          <t>Physical Android validation PASS after flashing gatewayA, gatewayB, nodeA1, and nodeA2. Android Nodes shows Gateway A: nodeA1 ONLINE, gatewayA ONLINE, nodeA2 ONLINE; Gateway B: gatewayB ONLINE.</t>
        </is>
      </c>
    </row>
    <row r="18" s="51">
      <c r="A18" s="281" t="inlineStr">
        <is>
          <t>2026-06-07</t>
        </is>
      </c>
      <c r="B18" s="281" t="inlineStr">
        <is>
          <t>STEP045B Android Real-Network Cleanup</t>
        </is>
      </c>
      <c r="C18" s="281" t="inlineStr">
        <is>
          <t>Codex</t>
        </is>
      </c>
      <c r="D18" s="281" t="inlineStr">
        <is>
          <t>Codex used for focused Android-only UI/destination cleanup after STEP045A physical discovery validation.</t>
        </is>
      </c>
      <c r="E18" s="281" t="inlineStr">
        <is>
          <t>MainActivity.kt now uses live discovered node IDs and selected live destination state; build and physical validation PASS.</t>
        </is>
      </c>
      <c r="F18" s="281" t="inlineStr">
        <is>
          <t>No</t>
        </is>
      </c>
      <c r="G18" s="281" t="inlineStr">
        <is>
          <t>Next workbook-approved task</t>
        </is>
      </c>
      <c r="H18" s="49" t="inlineStr">
        <is>
          <t>STEP045B physical Android hardware validation PASS. Android UI and Chat use live discovered node IDs; Chat destination is selected from discoveredNodes; local connected node is excluded; Route tab shows live LoRa route state when real nodes exist.</t>
        </is>
      </c>
    </row>
    <row r="19">
      <c r="A19" s="281" t="inlineStr">
        <is>
          <t>2026-06-07</t>
        </is>
      </c>
      <c r="B19" s="281" t="inlineStr">
        <is>
          <t>STEP046A Controlled Multi-Hop Lab Mode</t>
        </is>
      </c>
      <c r="C19" s="281" t="inlineStr">
        <is>
          <t>Codex</t>
        </is>
      </c>
      <c r="D19" s="281" t="inlineStr">
        <is>
          <t>Codex used for focused ESP32 firmware lab-mode routing overlay and PlatformIO validation.</t>
        </is>
      </c>
      <c r="E19" s="281" t="inlineStr">
        <is>
          <t>TEST_FORCE_GATEWAY_ROUTE added; four LoRa builds passed; physical lab validation pending.</t>
        </is>
      </c>
      <c r="F19" s="281" t="inlineStr">
        <is>
          <t>No</t>
        </is>
      </c>
      <c r="G19" s="281" t="inlineStr">
        <is>
          <t>Codex/local PlatformIO hardware bench for STEP046A physical validation</t>
        </is>
      </c>
      <c r="H19" s="49" t="inlineStr">
        <is>
          <t>Next: flash lab builds with TEST_FORCE_GATEWAY_ROUTE=1 and confirm forced gateway path both directions.</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22"/>
  <sheetViews>
    <sheetView workbookViewId="0">
      <pane ySplit="4" topLeftCell="A5" activePane="bottomLeft" state="frozen"/>
      <selection pane="bottomLeft" activeCell="A1" sqref="A1"/>
    </sheetView>
  </sheetViews>
  <sheetFormatPr baseColWidth="8" defaultRowHeight="15"/>
  <cols>
    <col width="16" customWidth="1" style="51" min="1" max="1"/>
    <col width="39" customWidth="1" style="51" min="2" max="2"/>
    <col width="42" customWidth="1" style="51" min="3" max="3"/>
    <col width="42" customWidth="1" style="51" min="4" max="4"/>
    <col width="31" customWidth="1" style="51" min="5" max="5"/>
    <col width="42" customWidth="1" style="51" min="6" max="6"/>
    <col width="42" customWidth="1" style="51" min="7" max="7"/>
    <col width="42" customWidth="1" style="51" min="8" max="8"/>
    <col width="42" customWidth="1" style="51" min="9" max="9"/>
  </cols>
  <sheetData>
    <row r="1">
      <c r="A1" s="278" t="inlineStr">
        <is>
          <t>Codex Task Log</t>
        </is>
      </c>
    </row>
    <row r="2">
      <c r="A2" s="279" t="inlineStr">
        <is>
          <t>Last updated</t>
        </is>
      </c>
      <c r="B2" s="258" t="inlineStr">
        <is>
          <t>2026-06-07</t>
        </is>
      </c>
    </row>
    <row r="4">
      <c r="A4" s="280" t="inlineStr">
        <is>
          <t>Date</t>
        </is>
      </c>
      <c r="B4" s="280" t="inlineStr">
        <is>
          <t>Task</t>
        </is>
      </c>
      <c r="C4" s="280" t="inlineStr">
        <is>
          <t>Repo Path</t>
        </is>
      </c>
      <c r="D4" s="280" t="inlineStr">
        <is>
          <t>Files Changed</t>
        </is>
      </c>
      <c r="E4" s="280" t="inlineStr">
        <is>
          <t>Commands Run</t>
        </is>
      </c>
      <c r="F4" s="280" t="inlineStr">
        <is>
          <t>Validation Result</t>
        </is>
      </c>
      <c r="G4" s="280" t="inlineStr">
        <is>
          <t>Unresolved Issues</t>
        </is>
      </c>
      <c r="H4" s="280" t="inlineStr">
        <is>
          <t>Workbook Updates Made</t>
        </is>
      </c>
      <c r="I4" s="280" t="inlineStr">
        <is>
          <t>Git Commit Reference</t>
        </is>
      </c>
    </row>
    <row r="5">
      <c r="A5" s="281" t="inlineStr">
        <is>
          <t>2026-05-15</t>
        </is>
      </c>
      <c r="B5" s="281" t="inlineStr">
        <is>
          <t>Workbook AI workflow structure update</t>
        </is>
      </c>
      <c r="C5" s="281" t="inlineStr">
        <is>
          <t>/Users/macbookm1max321tb/A_Design/A_Coding/ADM_Manet</t>
        </is>
      </c>
      <c r="D5" s="281" t="inlineStr">
        <is>
          <t>docs/workbook/PUP_MANET_Implementation_Workbook.xlsx; docs/codex-task-logs/STEP_034_AI_WORKFLOW_WORKBOOK_UPDATE.md</t>
        </is>
      </c>
      <c r="E5" s="281" t="inlineStr">
        <is>
          <t>openpyxl workbook sheet check</t>
        </is>
      </c>
      <c r="F5" s="281" t="inlineStr">
        <is>
          <t>Workbook saved and target sheets verified</t>
        </is>
      </c>
      <c r="G5" s="281" t="inlineStr">
        <is>
          <t>Step 8.1 physical baseline evidence still pending</t>
        </is>
      </c>
      <c r="H5" s="281" t="inlineStr">
        <is>
          <t>Added AI Stack, AI Router, Active Context Snapshot, AI Session Handoff, Prompt Library, Build Validation Matrix, Environment Snapshot, AI Model Routing Log, Codex Task Log</t>
        </is>
      </c>
      <c r="I5" s="281" t="inlineStr">
        <is>
          <t>Not committed by Codex unless user requests</t>
        </is>
      </c>
    </row>
    <row r="6">
      <c r="A6" s="281" t="inlineStr">
        <is>
          <t>2026-05-22</t>
        </is>
      </c>
      <c r="B6" s="281" t="inlineStr">
        <is>
          <t>STEP035 real LoRa E2E success continuity update</t>
        </is>
      </c>
      <c r="C6" s="281" t="inlineStr">
        <is>
          <t>/Users/macbookm1max321tb/A_Design/A_Coding/ADM_Manet</t>
        </is>
      </c>
      <c r="D6" s="281" t="inlineStr">
        <is>
          <t>docs/workbook/PUP_MANET_Implementation_Workbook.xlsx; docs/PROJECT_STATUS.md; docs/ACTIVE_CONTEXT.md; docs/AI_SESSION_HANDOFF.md; docs/codex-task-logs/STEP_035_REAL_LORA_E2E_SUCCESS.md; docs/codex-task-logs/STEP_034_OPERATIONAL_MEMORY_BOOTSTRAP.md</t>
        </is>
      </c>
      <c r="E6" s="281" t="inlineStr">
        <is>
          <t>git rev-parse HEAD; workbook inspection/update with openpyxl; workbook reload checks; git diff --check</t>
        </is>
      </c>
      <c r="F6" s="281" t="inlineStr">
        <is>
          <t>Workbook continuity updated; STEP035 recorded as PASS; STEP036 set as next incomplete task; no source files staged</t>
        </is>
      </c>
      <c r="G6" s="281" t="inlineStr">
        <is>
          <t>STEP036 Real Chat UI Integration pending; existing Android/ESP32 working tree changes remain unstaged</t>
        </is>
      </c>
      <c r="H6" s="281" t="inlineStr">
        <is>
          <t>Marked STEP034/STEP035 complete/pass, added evidence summary, branch/commit, troubleshooting notes, and next step STEP036</t>
        </is>
      </c>
      <c r="I6" s="281" t="inlineStr">
        <is>
          <t>Pending docs commit</t>
        </is>
      </c>
    </row>
    <row r="7">
      <c r="A7" s="281" t="inlineStr">
        <is>
          <t>2026-05-22</t>
        </is>
      </c>
      <c r="B7" s="281" t="inlineStr">
        <is>
          <t>STEP036 workbook continuity update</t>
        </is>
      </c>
      <c r="C7" s="281" t="inlineStr">
        <is>
          <t>/Users/macbookm1max321tb/A_Design/A_Coding/ADM_Manet</t>
        </is>
      </c>
      <c r="D7" s="281" t="inlineStr">
        <is>
          <t>docs/workbook/PUP_MANET_Implementation_Workbook.xlsx</t>
        </is>
      </c>
      <c r="E7" s="281" t="inlineStr">
        <is>
          <t>workbook inspection/update with openpyxl; workbook reload checks; zipfile workbook integrity check; git diff --check</t>
        </is>
      </c>
      <c r="F7" s="281" t="inlineStr">
        <is>
          <t>Workbook updated: STEP036 marked Completed/PASS; STEP037 set as next incomplete task</t>
        </is>
      </c>
      <c r="G7" s="281" t="inlineStr">
        <is>
          <t>STEP037 Multi-Hop Routing Foundation pending</t>
        </is>
      </c>
      <c r="H7" s="281" t="inlineStr">
        <is>
          <t>Added STEP036 result, evidence summary, notes, commits, and next step STEP037</t>
        </is>
      </c>
      <c r="I7" s="281" t="inlineStr">
        <is>
          <t>Pending workbook-only commit</t>
        </is>
      </c>
    </row>
    <row r="8">
      <c r="A8" s="281" t="inlineStr">
        <is>
          <t>2026-05-22</t>
        </is>
      </c>
      <c r="B8" s="281" t="inlineStr">
        <is>
          <t>STEP037 multi-hop foundation continuity update</t>
        </is>
      </c>
      <c r="C8" s="281" t="inlineStr">
        <is>
          <t>/Users/macbookm1max321tb/A_Design/A_Coding/ADM_Manet</t>
        </is>
      </c>
      <c r="D8" s="281" t="inlineStr">
        <is>
          <t>docs/workbook/PUP_MANET_Implementation_Workbook.xlsx; docs/PROJECT_STATUS.md; docs/ACTIVE_CONTEXT.md; docs/AI_SESSION_HANDOFF.md; docs/codex-task-logs/STEP_037_MULTI_HOP_ROUTING_FOUNDATION.md</t>
        </is>
      </c>
      <c r="E8" s="281" t="inlineStr">
        <is>
          <t>workbook inspection/update with openpyxl; workbook reload checks; zipfile workbook integrity check; git diff --check</t>
        </is>
      </c>
      <c r="F8" s="281" t="inlineStr">
        <is>
          <t>Workbook and continuity files updated: STEP037 marked Completed/PASS; STEP038 set as next incomplete task</t>
        </is>
      </c>
      <c r="G8" s="281" t="inlineStr">
        <is>
          <t>STEP038 Real Multi-Hop Relay Validation pending</t>
        </is>
      </c>
      <c r="H8" s="281" t="inlineStr">
        <is>
          <t>Added STEP037 result, evidence summary, no-regression note, multi-hop fields, and next step STEP038</t>
        </is>
      </c>
      <c r="I8" s="281" t="inlineStr">
        <is>
          <t>Pending continuity commit</t>
        </is>
      </c>
    </row>
    <row r="9">
      <c r="A9" s="281" t="inlineStr">
        <is>
          <t>2026-05-23</t>
        </is>
      </c>
      <c r="B9" s="281" t="inlineStr">
        <is>
          <t>RPi Tailscale gateway backhaul architecture update</t>
        </is>
      </c>
      <c r="C9" s="281" t="inlineStr">
        <is>
          <t>/Users/macbookm1max321tb/A_Design/A_Coding/ADM_Manet</t>
        </is>
      </c>
      <c r="D9" s="281" t="inlineStr">
        <is>
          <t>docs/workbook/PUP_MANET_Implementation_Workbook.xlsx; docs/PROJECT_STATUS.md; docs/ACTIVE_CONTEXT.md; docs/AI_SESSION_HANDOFF.md; docs/ARCHITECTURE.md</t>
        </is>
      </c>
      <c r="E9" s="281" t="inlineStr">
        <is>
          <t>workbook inspection/update with openpyxl; workbook reload checks; zipfile workbook integrity check; git diff --check</t>
        </is>
      </c>
      <c r="F9" s="281" t="inlineStr">
        <is>
          <t>Architecture direction recorded; STEP038 kept current; STEP039 added as next design milestone; no source files modified</t>
        </is>
      </c>
      <c r="G9" s="281" t="inlineStr">
        <is>
          <t>Tailscale implementation not yet validated</t>
        </is>
      </c>
      <c r="H9" s="281" t="inlineStr">
        <is>
          <t>Replaced current router-to-router simulated satellite design with RPi3B internet + Tailscale VPN backhaul direction</t>
        </is>
      </c>
      <c r="I9" s="281" t="inlineStr">
        <is>
          <t>Pending continuity commit</t>
        </is>
      </c>
    </row>
    <row r="10" s="51">
      <c r="A10" s="281" t="inlineStr">
        <is>
          <t>2026-05-23</t>
        </is>
      </c>
      <c r="B10" s="281" t="inlineStr">
        <is>
          <t>STEP039 Tailscale primary and LoRa backup architecture update</t>
        </is>
      </c>
      <c r="C10" s="281" t="inlineStr">
        <is>
          <t>/Users/macbookm1max321tb/A_Design/A_Coding/ADM_Manet</t>
        </is>
      </c>
      <c r="D10" s="281" t="inlineStr">
        <is>
          <t>docs/workbook/PUP_MANET_Implementation_Workbook.xlsx; docs/PROJECT_STATUS.md; docs/ACTIVE_CONTEXT.md; docs/AI_SESSION_HANDOFF.md; docs/ARCHITECTURE.md</t>
        </is>
      </c>
      <c r="E10" s="281" t="inlineStr">
        <is>
          <t>workbook inspection/update with openpyxl; workbook reload checks; zipfile workbook integrity check; git diff --check</t>
        </is>
      </c>
      <c r="F10" s="281" t="inlineStr">
        <is>
          <t>STEP039 architecture finalized; STEP035-038 preserved as PASS; no source/APK/PlatformIO/Android files modified</t>
        </is>
      </c>
      <c r="G10" s="281" t="inlineStr">
        <is>
          <t>Tailscale implementation not yet validated; future gateway mode enhancements planned</t>
        </is>
      </c>
      <c r="H10" s="281" t="inlineStr">
        <is>
          <t>Recorded primary Tailscale internet backhaul, LoRa backup backhaul, route priority order, stable STEP038 baseline firmware, future gateway capabilities, NODE/GATEWAY firmware modes</t>
        </is>
      </c>
      <c r="I10" s="281" t="inlineStr">
        <is>
          <t>Pending continuity commit</t>
        </is>
      </c>
    </row>
    <row r="11" s="51">
      <c r="A11" s="281" t="inlineStr">
        <is>
          <t>2026-05-24</t>
        </is>
      </c>
      <c r="B11" s="281" t="inlineStr">
        <is>
          <t>STEP040B Tailscale TCP relay continuity update</t>
        </is>
      </c>
      <c r="C11" s="281" t="inlineStr">
        <is>
          <t>/Users/macbookm1max321tb/A_Design/A_Coding/ADM_Manet</t>
        </is>
      </c>
      <c r="D11" s="281" t="inlineStr">
        <is>
          <t>docs/workbook/PUP_MANET_Implementation_Workbook.xlsx; docs/PROJECT_STATUS.md; docs/ACTIVE_CONTEXT.md; docs/AI_SESSION_HANDOFF.md; docs/ARCHITECTURE.md; docs/codex-task-logs/STEP040B_GATEWAY_TCP_RELAY_SERVICE.md</t>
        </is>
      </c>
      <c r="E11" s="281" t="inlineStr">
        <is>
          <t>workbook inspection/update with openpyxl; workbook reload check; zipfile workbook integrity check; git diff --check</t>
        </is>
      </c>
      <c r="F11" s="281" t="inlineStr">
        <is>
          <t>Workbook and continuity files updated: STEP040B marked Completed/PASS; STEP041 set as next incomplete task</t>
        </is>
      </c>
      <c r="G11" s="281" t="inlineStr">
        <is>
          <t>STEP041 ESP32-to-Raspberry Pi Serial Bridge Integration pending; LoRa backup and optional GSM fallback remain future work</t>
        </is>
      </c>
      <c r="H11" s="281" t="inlineStr">
        <is>
          <t>Recorded Tailscale IPs, TCP port 5050, JSON relay evidence, ACK, heartbeat, gateway tunnel operational state, architecture priority order, stable STEP038 baseline firmware, and STEP041 goal</t>
        </is>
      </c>
      <c r="I11" s="281" t="inlineStr">
        <is>
          <t>Pending continuity commit</t>
        </is>
      </c>
    </row>
    <row r="12" s="51">
      <c r="A12" t="inlineStr">
        <is>
          <t>2026-06-02</t>
        </is>
      </c>
      <c r="B12" t="inlineStr">
        <is>
          <t>Clarified requirements workbook and memory update</t>
        </is>
      </c>
      <c r="C12" t="inlineStr">
        <is>
          <t>/Users/macbookm1max321tb/A_Design/A_Coding/ADM_Manet</t>
        </is>
      </c>
      <c r="D12" t="inlineStr">
        <is>
          <t>docs/workbook/PUP_MANET_Implementation_Workbook.xlsx; docs/ACTIVE_CONTEXT.md; docs/AI_SESSION_HANDOFF.md; docs/ARCHITECTURE.md; docs/PROJECT_STATUS.md</t>
        </is>
      </c>
      <c r="E12" t="inlineStr">
        <is>
          <t>openpyxl workbook update; markdown file edits</t>
        </is>
      </c>
      <c r="F12" t="inlineStr">
        <is>
          <t>Workbook and continuity files updated with clarified requirements 2026-06-02</t>
        </is>
      </c>
      <c r="G12" t="inlineStr">
        <is>
          <t>None</t>
        </is>
      </c>
      <c r="H12" t="inlineStr">
        <is>
          <t>Added STEP042A-D to Detailed Steps; updated Dashboard, Config Tracker, Packet Protocol, Android App Plan, Architecture, Active Context Snapshot, AI Session Handoff, Codex Task Log</t>
        </is>
      </c>
      <c r="I12" t="inlineStr">
        <is>
          <t>Pending docs commit</t>
        </is>
      </c>
    </row>
    <row r="13" s="51">
      <c r="A13" s="1" t="inlineStr">
        <is>
          <t>2026-06-04</t>
        </is>
      </c>
      <c r="B13" s="1" t="inlineStr">
        <is>
          <t>STEP042A discovery export memory/workbook update</t>
        </is>
      </c>
      <c r="C13" s="1" t="inlineStr">
        <is>
          <t>/Users/macbookm1max321tb/A_Design/A_Coding/ADM_Manet</t>
        </is>
      </c>
      <c r="D13" s="1" t="inlineStr">
        <is>
          <t>docs/ACTIVE_CONTEXT.md; docs/AI_SESSION_HANDOFF.md; docs/ARCHITECTURE.md; docs/PROJECT_STATUS.md; docs/workbook/PUP_MANET_Implementation_Workbook.xlsx</t>
        </is>
      </c>
      <c r="E13" s="1" t="inlineStr">
        <is>
          <t>workbook inspection/update with openpyxl; workbook reload check; zipfile workbook integrity check; git diff --check</t>
        </is>
      </c>
      <c r="F13" s="1" t="inlineStr">
        <is>
          <t>Continuity updated: gateway Bluetooth cleanup validated; STEP042A root cause/fix recorded; physical acceptance remains pending</t>
        </is>
      </c>
      <c r="G13" s="1" t="inlineStr">
        <is>
          <t>STEP042A Android NODE_LIST count&gt;=2 validation pending; STEP042B not started</t>
        </is>
      </c>
      <c r="H13" s="1" t="inlineStr">
        <is>
          <t>Updated Detailed Steps, Progress Tracker, Build Validation Matrix, Active Context Snapshot, AI Session Handoff, Architecture, Test Campaign, Routing &amp; Failover, AI Model Routing Log, Codex Task Log, Dashboard</t>
        </is>
      </c>
      <c r="I13" s="1" t="inlineStr">
        <is>
          <t>Not committed</t>
        </is>
      </c>
    </row>
    <row r="14">
      <c r="A14" s="49" t="inlineStr">
        <is>
          <t>2026-06-05</t>
        </is>
      </c>
      <c r="B14" s="49" t="inlineStr">
        <is>
          <t>STEP042A/STEP042B physical validation continuity update</t>
        </is>
      </c>
      <c r="C14" s="49" t="inlineStr">
        <is>
          <t>/Users/macbookm1max321tb/A_Design/A_Coding/ADM_Manet</t>
        </is>
      </c>
      <c r="D14" s="49" t="inlineStr">
        <is>
          <t>docs/workbook/PUP_MANET_Implementation_Workbook.xlsx; docs/ACTIVE_CONTEXT.md; docs/AI_SESSION_HANDOFF.md; docs/ARCHITECTURE.md; docs/PROJECT_STATUS.md</t>
        </is>
      </c>
      <c r="E14" s="49" t="inlineStr">
        <is>
          <t>openpyxl workbook update; workbook reload check; xlsx zip integrity check; git diff --check</t>
        </is>
      </c>
      <c r="F14" s="49" t="inlineStr">
        <is>
          <t>Recorded STEP042A A-side discovery PASS and STEP042B 2-node Android LoRa messaging PASS; docs/workbook only</t>
        </is>
      </c>
      <c r="G14" s="49" t="inlineStr">
        <is>
          <t>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H14" s="49" t="inlineStr">
        <is>
          <t>Updated Dashboard, Detailed Steps, Architecture, Routing &amp; Failover, Android App Plan, Test Campaign, Progress Tracker, Active Context Snapshot, AI Session Handoff, Build Validation Matrix, AI Model Routing Log, and Codex Task Log.</t>
        </is>
      </c>
      <c r="I14" s="49" t="n"/>
    </row>
    <row r="15">
      <c r="A15" s="49" t="inlineStr">
        <is>
          <t>2026-06-05</t>
        </is>
      </c>
      <c r="B15" s="49" t="inlineStr">
        <is>
          <t>STEP043 LoRa HELLO packet format fix</t>
        </is>
      </c>
      <c r="C15" s="49" t="inlineStr">
        <is>
          <t>/Users/macbookm1max321tb/A_Design/A_Coding/ADM_Manet</t>
        </is>
      </c>
      <c r="D15" s="49" t="inlineStr">
        <is>
          <t>esp32-node-platformio/src/main.cpp; docs/workbook/PUP_MANET_Implementation_Workbook.xlsx; docs/ACTIVE_CONTEXT.md; docs/AI_SESSION_HANDOFF.md; docs/ARCHITECTURE.md; docs/PROJECT_STATUS.md; docs/codex-task-logs/STEP043_LORA_HELLO_PACKET_FORMAT_FIX.md</t>
        </is>
      </c>
      <c r="E15" s="49" t="inlineStr">
        <is>
          <t>pio run -e gatewayA_lora -e gatewayB_lora; pio run -e nodeA1_lora -e nodeA2_lora; workbook reload check; xlsx zip integrity check; git diff --check</t>
        </is>
      </c>
      <c r="F15" s="49" t="inlineStr">
        <is>
          <t>Build validation PASS; physical gateway discovery validation pending</t>
        </is>
      </c>
      <c r="G15" s="49" t="inlineStr">
        <is>
          <t>Physical validation pending: flash gatewayA_lora and gatewayB_lora; confirm Gateway B logs [HELLO] discovered gatewayA; confirm Gateway A logs [HELLO] discovered gatewayB; run STATUS and NEIGHBORS on both ESP32s and confirm both gateway nodes are listed.</t>
        </is>
      </c>
      <c r="H15" s="49" t="inlineStr">
        <is>
          <t>Recorded STEP043 root cause, expected parser format, fix summary, build results, and next physical validation procedure.</t>
        </is>
      </c>
      <c r="I15" s="49" t="n"/>
    </row>
    <row r="16">
      <c r="A16" s="49" t="inlineStr">
        <is>
          <t>2026-06-06</t>
        </is>
      </c>
      <c r="B16" s="49" t="inlineStr">
        <is>
          <t>STEP043 compact BT1 HELLO receiver correction</t>
        </is>
      </c>
      <c r="C16" s="49" t="inlineStr">
        <is>
          <t>/Users/macbookm1max321tb/A_Design/A_Coding/ADM_Manet</t>
        </is>
      </c>
      <c r="D16" s="49" t="inlineStr">
        <is>
          <t>esp32-node-platformio/src/main.cpp; docs/workbook/PUP_MANET_Implementation_Workbook.xlsx; docs/ACTIVE_CONTEXT.md; docs/AI_SESSION_HANDOFF.md; docs/ARCHITECTURE.md; docs/PROJECT_STATUS.md; docs/codex-task-logs/STEP043_LORA_HELLO_PACKET_FORMAT_FIX.md</t>
        </is>
      </c>
      <c r="E16" s="49" t="inlineStr">
        <is>
          <t>pio run -e gatewayA_lora -e gatewayB_lora; pio run -e nodeA1_lora -e nodeA2_lora; workbook reload check; xlsx zip integrity check; git diff --check</t>
        </is>
      </c>
      <c r="F16" s="49" t="inlineStr">
        <is>
          <t>Build validation PASS; physical compact HELLO gateway discovery validation pending</t>
        </is>
      </c>
      <c r="G16" s="49" t="inlineStr">
        <is>
          <t>Expected physical validation: receiver logs [LORA_RX] payload=BT1|HELLO-..., [LORA_RELAY_PARSE] valid, [DISCOVERY] HELLO from gatewayA gateway=A or gatewayB gateway=B, and [NEIGHBOR_ADD]/[NEIGHBOR_UPDATE]; STATUS and NEIGHBORS list both gateways.</t>
        </is>
      </c>
      <c r="H16" s="49" t="inlineStr">
        <is>
          <t>Recorded failed initial STEP043 physical validation, compact BT1 protocol decision, corrected receiver-side fix, build results, and next validation procedure.</t>
        </is>
      </c>
      <c r="I16" s="49" t="n"/>
    </row>
    <row r="17">
      <c r="A17" s="49" t="inlineStr">
        <is>
          <t>2026-06-06</t>
        </is>
      </c>
      <c r="B17" s="49" t="inlineStr">
        <is>
          <t>STEP044 strict compact BT1 packet validation</t>
        </is>
      </c>
      <c r="C17" s="49" t="inlineStr">
        <is>
          <t>/Users/macbookm1max321tb/A_Design/A_Coding/ADM_Manet</t>
        </is>
      </c>
      <c r="D17" s="49" t="inlineStr">
        <is>
          <t>esp32-node-platformio/src/main.cpp; docs/workbook/PUP_MANET_Implementation_Workbook.xlsx; docs/ACTIVE_CONTEXT.md; docs/AI_SESSION_HANDOFF.md; docs/ARCHITECTURE.md; docs/PROJECT_STATUS.md; docs/codex-task-logs/STEP044_STRICT_BT1_PACKET_VALIDATION.md; docs/codex-task-logs/STEP043_LORA_HELLO_PACKET_FORMAT_FIX.md</t>
        </is>
      </c>
      <c r="E17" s="49" t="inlineStr">
        <is>
          <t>pio run -e gatewayA_lora -e gatewayB_lora; pio run -e nodeA1_lora -e nodeA2_lora; workbook reload check; xlsx zip integrity check; git diff --check</t>
        </is>
      </c>
      <c r="F17" s="49" t="inlineStr">
        <is>
          <t>Build validation PASS; first physical corrupt-packet validation later FAILED.</t>
        </is>
      </c>
      <c r="G17" s="49" t="inlineStr">
        <is>
          <t>Physical validation failed after commit 93dd506; corrective fix required.</t>
        </is>
      </c>
      <c r="H17" s="49" t="inlineStr">
        <is>
          <t>Original STEP044 row retained; follow-up correction recorded in next row.</t>
        </is>
      </c>
      <c r="I17" s="49" t="n"/>
    </row>
    <row r="18">
      <c r="A18" s="49" t="inlineStr">
        <is>
          <t>2026-06-06</t>
        </is>
      </c>
      <c r="B18" s="49" t="inlineStr">
        <is>
          <t>STEP044 corrective strict HELLO validation</t>
        </is>
      </c>
      <c r="C18" s="49" t="inlineStr">
        <is>
          <t>/Users/macbookm1max321tb/A_Design/A_Coding/ADM_Manet</t>
        </is>
      </c>
      <c r="D18" s="49" t="inlineStr">
        <is>
          <t>esp32-node-platformio/src/main.cpp; docs/workbook/PUP_MANET_Implementation_Workbook.xlsx; docs/ACTIVE_CONTEXT.md; docs/AI_SESSION_HANDOFF.md; docs/ARCHITECTURE.md; docs/PROJECT_STATUS.md; docs/codex-task-logs/STEP044_STRICT_BT1_PACKET_VALIDATION.md</t>
        </is>
      </c>
      <c r="E18" s="49" t="inlineStr">
        <is>
          <t>pio run -e gatewayA_lora -e gatewayB_lora -e nodeA1_lora -e nodeA2_lora; workbook reload check; xlsx zip integrity check; git diff --check</t>
        </is>
      </c>
      <c r="F18" s="49" t="inlineStr">
        <is>
          <t>Corrective build validation PASS and physical RF-stress validation PASS.</t>
        </is>
      </c>
      <c r="G18" s="49" t="inlineStr">
        <is>
          <t>None for STEP044; continue from next incomplete workbook task.</t>
        </is>
      </c>
      <c r="H18"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8" s="49" t="n"/>
    </row>
    <row r="19" s="51">
      <c r="A19" s="49" t="inlineStr">
        <is>
          <t>2026-06-06</t>
        </is>
      </c>
      <c r="B19" s="49" t="inlineStr">
        <is>
          <t>STEP044 physical validation PASS</t>
        </is>
      </c>
      <c r="C19" s="49" t="inlineStr">
        <is>
          <t>/Users/macbookm1max321tb/A_Design/A_Coding/ADM_Manet</t>
        </is>
      </c>
      <c r="D19" s="49" t="inlineStr">
        <is>
          <t>docs/workbook/PUP_MANET_Implementation_Workbook.xlsx; docs/ACTIVE_CONTEXT.md; docs/AI_SESSION_HANDOFF.md; docs/ARCHITECTURE.md; docs/PROJECT_STATUS.md; docs/codex-task-logs/STEP044_STRICT_BT1_PACKET_VALIDATION.md</t>
        </is>
      </c>
      <c r="E19" s="49" t="inlineStr">
        <is>
          <t>workbook reload check; xlsx zip integrity check; git diff --check</t>
        </is>
      </c>
      <c r="F19" s="49" t="inlineStr">
        <is>
          <t>STEP044 marked COMPLETE / PASS after user physical RF-stress validation.</t>
        </is>
      </c>
      <c r="G19" s="49" t="inlineStr">
        <is>
          <t>None for STEP044.</t>
        </is>
      </c>
      <c r="H19"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9" s="49" t="n"/>
    </row>
    <row r="20" s="51">
      <c r="A20" s="49" t="inlineStr">
        <is>
          <t>2026-06-07</t>
        </is>
      </c>
      <c r="B20" s="49" t="inlineStr">
        <is>
          <t>STEP045A mesh-wide presence propagation</t>
        </is>
      </c>
      <c r="C20" s="49" t="inlineStr">
        <is>
          <t>/Users/macbookm1max321tb/A_Design/A_Coding/ADM_Manet</t>
        </is>
      </c>
      <c r="D20" s="49" t="inlineStr">
        <is>
          <t>esp32-node-platformio/src/main.cpp; docs/workbook/PUP_MANET_Implementation_Workbook.xlsx; docs/ACTIVE_CONTEXT.md; docs/AI_SESSION_HANDOFF.md; docs/ARCHITECTURE.md; docs/PROJECT_STATUS.md; docs/codex-task-logs/STEP045A_MESH_WIDE_PRESENCE_PROPAGATION.md</t>
        </is>
      </c>
      <c r="E20" s="49" t="inlineStr">
        <is>
          <t>pio run -e gatewayA_lora -e gatewayB_lora -e nodeA1_lora -e nodeA2_lora; workbook reload check; xlsx zip integrity check; git diff --check</t>
        </is>
      </c>
      <c r="F20" s="49" t="inlineStr">
        <is>
          <t>STEP045A marked COMPLETE / PASS after build and physical Android validation.</t>
        </is>
      </c>
      <c r="G20" s="49" t="inlineStr">
        <is>
          <t>STEP045B Android cleanup pending; nodeA3 not deployed; do not start STEP042C/D.</t>
        </is>
      </c>
      <c r="H20" s="49" t="inlineStr">
        <is>
          <t>Recorded STEP045A root cause, HELLO relay fix, physical Android evidence, and next step STEP045B.</t>
        </is>
      </c>
      <c r="I20" s="49" t="n"/>
    </row>
    <row r="21" s="51">
      <c r="A21" s="49" t="inlineStr">
        <is>
          <t>2026-06-07</t>
        </is>
      </c>
      <c r="B21" s="49" t="inlineStr">
        <is>
          <t>STEP045B Android Real-Network Cleanup</t>
        </is>
      </c>
      <c r="C21" s="49" t="inlineStr">
        <is>
          <t>/Users/macbookm1max321tb/A_Design/A_Coding/ADM_Manet</t>
        </is>
      </c>
      <c r="D21" s="49" t="inlineStr">
        <is>
          <t>android-chat-app/app/src/main/java/ph/edu/pup/manetmessenger/MainActivity.kt; docs/workbook/PUP_MANET_Implementation_Workbook.xlsx; docs/ACTIVE_CONTEXT.md; docs/AI_SESSION_HANDOFF.md; docs/PROJECT_STATUS.md; docs/codex-task-logs/STEP045B_ANDROID_REAL_NETWORK_CLEANUP.md</t>
        </is>
      </c>
      <c r="E21" s="49" t="inlineStr">
        <is>
          <t>JAVA_HOME="/Applications/Android Studio.app/Contents/jbr/Contents/Home" ./gradlew :app:assembleDebug; workbook reload check; xlsx zip integrity check; git diff --check</t>
        </is>
      </c>
      <c r="F21" s="49" t="inlineStr">
        <is>
          <t>STEP045B marked COMPLETE / PASS after build and physical Android hardware validation.</t>
        </is>
      </c>
      <c r="G21" s="49" t="inlineStr">
        <is>
          <t>nodeA3 not deployed; GatewayB serial-reset observation remains only if it recurs.</t>
        </is>
      </c>
      <c r="H21" s="49" t="inlineStr">
        <is>
          <t>Recorded STEP045B Android cleanup, physical validation, build result, and next-step guard.</t>
        </is>
      </c>
      <c r="I21" s="49" t="n"/>
    </row>
    <row r="22">
      <c r="A22" s="49" t="inlineStr">
        <is>
          <t>2026-06-07</t>
        </is>
      </c>
      <c r="B22" s="49" t="inlineStr">
        <is>
          <t>STEP046A Controlled Multi-Hop Lab Mode</t>
        </is>
      </c>
      <c r="C22" s="49" t="inlineStr">
        <is>
          <t>/Users/macbookm1max321tb/A_Design/A_Coding/ADM_Manet</t>
        </is>
      </c>
      <c r="D22" s="49" t="inlineStr">
        <is>
          <t>esp32-node-platformio/src/main.cpp; docs/workbook/PUP_MANET_Implementation_Workbook.xlsx; docs/ACTIVE_CONTEXT.md; docs/AI_SESSION_HANDOFF.md; docs/PROJECT_STATUS.md; docs/codex-task-logs/STEP046A_CONTROLLED_MULTIHOP_LAB_MODE.md</t>
        </is>
      </c>
      <c r="E22" s="49" t="inlineStr">
        <is>
          <t>pio run -e gatewayA_lora -e gatewayB_lora -e nodeA1_lora -e nodeA2_lora; workbook reload check; xlsx zip integrity check; git diff --check</t>
        </is>
      </c>
      <c r="F22" s="49" t="inlineStr">
        <is>
          <t>STEP046A implementation approved and build validation PASS; physical lab validation pending.</t>
        </is>
      </c>
      <c r="G22" s="49" t="inlineStr">
        <is>
          <t>Physical lab validation pending with TEST_FORCE_GATEWAY_ROUTE=1; do not start STEP042C/D.</t>
        </is>
      </c>
      <c r="H22" s="49" t="inlineStr">
        <is>
          <t>Added STEP046A Detailed Steps row, progress entry, active context snapshot, handoff, build validation, model routing, and task log references.</t>
        </is>
      </c>
      <c r="I22" s="49" t="inlineStr">
        <is>
          <t>Pending STEP046A commit after workbook update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2026-05-12T13:38:51Z</dcterms:created>
  <dcterms:modified xsi:type="dcterms:W3CDTF">2026-06-07T10:41:46Z</dcterms:modified>
</cp:coreProperties>
</file>