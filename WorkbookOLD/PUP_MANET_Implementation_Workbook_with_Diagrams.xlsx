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65bb20da8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f30a57da4d498c"/>
    <x:sheet xmlns:r="http://schemas.openxmlformats.org/officeDocument/2006/relationships" name="README" sheetId="2" r:id="Rb34bf6707f85447e"/>
    <x:sheet xmlns:r="http://schemas.openxmlformats.org/officeDocument/2006/relationships" name="Architecture" sheetId="3" r:id="R4a1c2ebc44e14995"/>
    <x:sheet xmlns:r="http://schemas.openxmlformats.org/officeDocument/2006/relationships" name="Phase Plan" sheetId="4" r:id="R51b018a453264b18"/>
    <x:sheet xmlns:r="http://schemas.openxmlformats.org/officeDocument/2006/relationships" name="Detailed Steps" sheetId="5" r:id="R24e1ca01f4604123"/>
    <x:sheet xmlns:r="http://schemas.openxmlformats.org/officeDocument/2006/relationships" name="Hardware BOM" sheetId="6" r:id="Rec0e79ab4220423e"/>
    <x:sheet xmlns:r="http://schemas.openxmlformats.org/officeDocument/2006/relationships" name="Config Tracker" sheetId="7" r:id="R260440d3d0744f6d"/>
    <x:sheet xmlns:r="http://schemas.openxmlformats.org/officeDocument/2006/relationships" name="Packet Protocol" sheetId="8" r:id="R29711070206a4e28"/>
    <x:sheet xmlns:r="http://schemas.openxmlformats.org/officeDocument/2006/relationships" name="Routing &amp; Failover" sheetId="9" r:id="R2b45d49b56fd46c5"/>
    <x:sheet xmlns:r="http://schemas.openxmlformats.org/officeDocument/2006/relationships" name="Simulation Plan" sheetId="10" r:id="R0a8cbdf09976475f"/>
    <x:sheet xmlns:r="http://schemas.openxmlformats.org/officeDocument/2006/relationships" name="Android App Plan" sheetId="11" r:id="R37334675b1be487c"/>
    <x:sheet xmlns:r="http://schemas.openxmlformats.org/officeDocument/2006/relationships" name="Test Campaign" sheetId="12" r:id="Rae4454e5bde84b17"/>
    <x:sheet xmlns:r="http://schemas.openxmlformats.org/officeDocument/2006/relationships" name="Progress Tracker" sheetId="13" r:id="R4129bbb70cde40d2"/>
    <x:sheet xmlns:r="http://schemas.openxmlformats.org/officeDocument/2006/relationships" name="Issue Log" sheetId="14" r:id="Rf5d6e8a727fb46d1"/>
    <x:sheet xmlns:r="http://schemas.openxmlformats.org/officeDocument/2006/relationships" name="Decision Log" sheetId="15" r:id="R4297890eb7624a31"/>
    <x:sheet xmlns:r="http://schemas.openxmlformats.org/officeDocument/2006/relationships" name="System Diagram" sheetId="16" r:id="R373b6bfb2bd34324"/>
    <x:sheet xmlns:r="http://schemas.openxmlformats.org/officeDocument/2006/relationships" name="Data Flow" sheetId="17" r:id="Rff60a2802415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3">
    <x:font>
      <x:sz val="11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b/>
      <x:sz val="11"/>
      <x:color rgb="166534"/>
      <x:name val="Carlito"/>
    </x:font>
    <x:font>
      <x:b/>
      <x:sz val="11"/>
      <x:color rgb="92400E"/>
      <x:name val="Carlito"/>
    </x:font>
    <x:font>
      <x:b/>
      <x:sz val="11"/>
      <x:color rgb="991B1B"/>
      <x:name val="Carlito"/>
    </x:font>
    <x:font>
      <x:b/>
      <x:sz val="11"/>
      <x:color rgb="334155"/>
      <x:name val="Carlito"/>
    </x:font>
    <x:font>
      <x:b/>
      <x:sz val="11"/>
      <x:name val="Carlito"/>
    </x:font>
    <x:font>
      <x:sz val="11"/>
      <x:color rgb="334155"/>
      <x:name val="Carlito"/>
    </x:font>
    <x:font>
      <x:b/>
      <x:sz val="11"/>
      <x:color rgb="075985"/>
      <x:name val="Carlito"/>
    </x:font>
    <x:font>
      <x:b/>
      <x:sz val="18"/>
      <x:color rgb="334155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FEE2E2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</x:fills>
  <x:borders count="11">
    <x:border/>
    <x:border/>
    <x:border>
      <x:left>
        <x:color rgb="64748B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0" fontId="7" fillId="10" borderId="10" xfId="0" applyNumberFormat="1" applyFont="1" applyFill="1" applyBorder="1" applyAlignment="1">
      <x:alignment horizontal="center" vertical="center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9" fillId="11" borderId="2" xfId="0" applyNumberFormat="1" applyFont="1" applyFill="1" applyBorder="1" applyAlignment="1">
      <x:alignment horizontal="center"/>
    </x:xf>
    <x:xf numFmtId="0" fontId="10" fillId="12" borderId="6" xfId="0" applyNumberFormat="1" applyFont="1" applyFill="1" applyBorder="1" applyAlignment="1">
      <x:alignment vertical="top" wrapText="1"/>
    </x:xf>
    <x:xf numFmtId="0" fontId="10" fillId="12" borderId="3" xfId="0" applyNumberFormat="1" applyFont="1" applyFill="1" applyBorder="1" applyAlignment="1">
      <x:alignment vertical="top" wrapText="1"/>
    </x:xf>
    <x:xf numFmtId="0" fontId="9" fillId="11" borderId="7" xfId="0" applyNumberFormat="1" applyFont="1" applyFill="1" applyBorder="1" applyAlignment="1">
      <x:alignment horizontal="center"/>
    </x:xf>
    <x:xf numFmtId="0" fontId="10" fillId="12" borderId="8" xfId="0" applyNumberFormat="1" applyFont="1" applyFill="1" applyBorder="1" applyAlignment="1">
      <x:alignment vertical="top" wrapText="1"/>
    </x:xf>
    <x:xf numFmtId="0" fontId="10" fillId="12" borderId="9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horizontal="center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0" fontId="10" fillId="12" borderId="2" xfId="0" applyNumberFormat="1" applyFont="1" applyFill="1" applyBorder="1" applyAlignment="1">
      <x:alignment vertical="top" wrapText="1"/>
    </x:xf>
    <x:xf numFmtId="0" fontId="10" fillId="12" borderId="7" xfId="0" applyNumberFormat="1" applyFont="1" applyFill="1" applyBorder="1" applyAlignment="1">
      <x:alignment vertical="top" wrapText="1"/>
    </x:xf>
    <x:xf numFmtId="0" fontId="10" fillId="12" borderId="4" xfId="0" applyNumberFormat="1" applyFont="1" applyFill="1" applyBorder="1" applyAlignment="1">
      <x:alignment vertical="top" wrapText="1"/>
    </x:xf>
    <x:xf numFmtId="0" fontId="10" fillId="11" borderId="2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10" fillId="11" borderId="4" xfId="0" applyNumberFormat="1" applyFont="1" applyFill="1" applyBorder="1" applyAlignment="1">
      <x:alignment vertical="top" wrapText="1"/>
    </x:xf>
    <x:xf numFmtId="0" fontId="11" fillId="11" borderId="2" xfId="0" applyNumberFormat="1" applyFont="1" applyFill="1" applyBorder="1" applyAlignment="1">
      <x:alignment vertical="top" wrapText="1"/>
    </x:xf>
    <x:xf numFmtId="0" fontId="11" fillId="11" borderId="7" xfId="0" applyNumberFormat="1" applyFont="1" applyFill="1" applyBorder="1" applyAlignment="1">
      <x:alignment vertical="top" wrapText="1"/>
    </x:xf>
    <x:xf numFmtId="0" fontId="11" fillId="11" borderId="4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horizontal="center" vertical="top" wrapText="1"/>
    </x:xf>
    <x:xf numFmtId="0" fontId="6" fillId="9" borderId="9" xfId="0" applyNumberFormat="1" applyFont="1" applyFill="1" applyBorder="1" applyAlignment="1">
      <x:alignment horizontal="center" vertical="top" wrapText="1"/>
    </x:xf>
    <x:xf numFmtId="0" fontId="6" fillId="9" borderId="5" xfId="0" applyNumberFormat="1" applyFont="1" applyFill="1" applyBorder="1" applyAlignment="1">
      <x:alignment horizontal="center" vertical="top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/>
    </x:xf>
    <x:xf numFmtId="0" fontId="10" fillId="12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8b5a07cba4cf1" /><Relationship Type="http://schemas.openxmlformats.org/officeDocument/2006/relationships/theme" Target="/xl/theme/theme1.xml" Id="Rdac40021c50a4866" /><Relationship Type="http://schemas.openxmlformats.org/officeDocument/2006/relationships/sharedStrings" Target="/xl/sharedStrings.xml" Id="Rb2ac5931e710472e" /><Relationship Type="http://schemas.openxmlformats.org/officeDocument/2006/relationships/worksheet" Target="/xl/worksheets/sheet1.xml" Id="R52f30a57da4d498c" /><Relationship Type="http://schemas.openxmlformats.org/officeDocument/2006/relationships/worksheet" Target="/xl/worksheets/sheet2.xml" Id="Rb34bf6707f85447e" /><Relationship Type="http://schemas.openxmlformats.org/officeDocument/2006/relationships/worksheet" Target="/xl/worksheets/sheet3.xml" Id="R4a1c2ebc44e14995" /><Relationship Type="http://schemas.openxmlformats.org/officeDocument/2006/relationships/worksheet" Target="/xl/worksheets/sheet4.xml" Id="R51b018a453264b18" /><Relationship Type="http://schemas.openxmlformats.org/officeDocument/2006/relationships/worksheet" Target="/xl/worksheets/sheet5.xml" Id="R24e1ca01f4604123" /><Relationship Type="http://schemas.openxmlformats.org/officeDocument/2006/relationships/worksheet" Target="/xl/worksheets/sheet6.xml" Id="Rec0e79ab4220423e" /><Relationship Type="http://schemas.openxmlformats.org/officeDocument/2006/relationships/worksheet" Target="/xl/worksheets/sheet7.xml" Id="R260440d3d0744f6d" /><Relationship Type="http://schemas.openxmlformats.org/officeDocument/2006/relationships/worksheet" Target="/xl/worksheets/sheet8.xml" Id="R29711070206a4e28" /><Relationship Type="http://schemas.openxmlformats.org/officeDocument/2006/relationships/worksheet" Target="/xl/worksheets/sheet9.xml" Id="R2b45d49b56fd46c5" /><Relationship Type="http://schemas.openxmlformats.org/officeDocument/2006/relationships/worksheet" Target="/xl/worksheets/sheet10.xml" Id="R0a8cbdf09976475f" /><Relationship Type="http://schemas.openxmlformats.org/officeDocument/2006/relationships/worksheet" Target="/xl/worksheets/sheet11.xml" Id="R37334675b1be487c" /><Relationship Type="http://schemas.openxmlformats.org/officeDocument/2006/relationships/worksheet" Target="/xl/worksheets/sheet12.xml" Id="Rae4454e5bde84b17" /><Relationship Type="http://schemas.openxmlformats.org/officeDocument/2006/relationships/worksheet" Target="/xl/worksheets/sheet13.xml" Id="R4129bbb70cde40d2" /><Relationship Type="http://schemas.openxmlformats.org/officeDocument/2006/relationships/worksheet" Target="/xl/worksheets/sheet14.xml" Id="Rf5d6e8a727fb46d1" /><Relationship Type="http://schemas.openxmlformats.org/officeDocument/2006/relationships/worksheet" Target="/xl/worksheets/sheet15.xml" Id="R4297890eb7624a31" /><Relationship Type="http://schemas.openxmlformats.org/officeDocument/2006/relationships/worksheet" Target="/xl/worksheets/sheet16.xml" Id="R373b6bfb2bd34324" /><Relationship Type="http://schemas.openxmlformats.org/officeDocument/2006/relationships/worksheet" Target="/xl/worksheets/sheet17.xml" Id="Rff60a2802415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30" hidden="0" customWidth="1"/>
  </x:cols>
  <x:sheetData>
    <x:row r="1">
      <x:c r="A1" s="38" t="str">
        <x:v>MANET Emergency Messaging Prototype - Dashboard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Total Steps</x:v>
      </x:c>
      <x:c r="B3" s="39" t="n">
        <x:f>COUNTA('Detailed Steps'!A2:A200)</x:f>
        <x:v>31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Done</x:v>
      </x:c>
      <x:c r="B4" s="39" t="n">
        <x:f>COUNTIF('Detailed Steps'!F2:F200,"Done")</x:f>
        <x:v>0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In Progress</x:v>
      </x:c>
      <x:c r="B5" s="39" t="n">
        <x:f>COUNTIF('Detailed Steps'!F2:F200,"In Progress")</x:f>
        <x:v>1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Blocked</x:v>
      </x:c>
      <x:c r="B6" s="39" t="n">
        <x:f>COUNTIF('Detailed Steps'!F2:F200,"Blocked")</x:f>
        <x:v>0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Not Started</x:v>
      </x:c>
      <x:c r="B7" s="39" t="n">
        <x:f>COUNTIF('Detailed Steps'!F2:F200,"Not Started")</x:f>
        <x:v>29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Completion</x:v>
      </x:c>
      <x:c r="B8" s="41" t="n">
        <x:f>IF(B3=0,0,B4/B3)</x:f>
        <x:v>0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0" t="str">
        <x:v>Current Stage</x:v>
      </x:c>
      <x:c r="B9" s="39" t="str">
        <x:f>IFERROR(INDEX('Detailed Steps'!B2:B200,MATCH("In Progress",'Detailed Steps'!F2:F200,0)),"Set first active step")</x:f>
        <x:v>0 Baseline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0" t="str">
        <x:v>Next Action</x:v>
      </x:c>
      <x:c r="B10" s="39" t="str">
        <x:f>IFERROR(INDEX('Detailed Steps'!D2:D200,MATCH("In Progress",'Detailed Steps'!F2:F200,0)),"Mark next step In Progress")</x:f>
        <x:v>Review workbook sheets and confirm architecture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0" t="str">
        <x:v>Recommended Current Architecture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Layer</x:v>
      </x:c>
      <x:c r="B13" s="42" t="str">
        <x:v>Recommended Implementation</x:v>
      </x:c>
      <x:c r="C13" s="42" t="str">
        <x:v>Reason</x:v>
      </x:c>
      <x:c r="D13" s="42" t="str">
        <x:v>Status</x:v>
      </x:c>
      <x:c r="E13" s="42" t="str">
        <x:v>Owner</x:v>
      </x:c>
      <x:c r="F13" s="42" t="str">
        <x:v>Date</x:v>
      </x:c>
      <x:c r="G13" s="42" t="str">
        <x:v>Evidence</x:v>
      </x:c>
      <x:c r="H13" s="42" t="str">
        <x:v>Notes</x:v>
      </x:c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User App</x:v>
      </x:c>
      <x:c r="B14" s="43" t="str">
        <x:v>Android app later; web dashboard first</x:v>
      </x:c>
      <x:c r="C14" s="43" t="str">
        <x:v>Avoids mobile complexity before backend and protocol are stable</x:v>
      </x:c>
      <x:c r="D14" s="43" t="str">
        <x:v>Planned</x:v>
      </x:c>
      <x:c r="E14" s="43" t="str"/>
      <x:c r="F14" s="43" t="str"/>
      <x:c r="G14" s="43" t="str"/>
      <x:c r="H14" s="43" t="str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Gateway</x:v>
      </x:c>
      <x:c r="B15" s="43" t="str">
        <x:v>Raspberry Pi 3B + directly wired LoRa module</x:v>
      </x:c>
      <x:c r="C15" s="43" t="str">
        <x:v>Matches user choice and enables local routing/failover logic</x:v>
      </x:c>
      <x:c r="D15" s="43" t="str">
        <x:v>Planned</x:v>
      </x:c>
      <x:c r="E15" s="43" t="str"/>
      <x:c r="F15" s="43" t="str"/>
      <x:c r="G15" s="43" t="str"/>
      <x:c r="H15" s="43" t="str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MANET Node</x:v>
      </x:c>
      <x:c r="B16" s="43" t="str">
        <x:v>ESP32 + SX1278 Ra-02 433 MHz</x:v>
      </x:c>
      <x:c r="C16" s="43" t="str">
        <x:v>Available hardware; good for prototype</x:v>
      </x:c>
      <x:c r="D16" s="43" t="str">
        <x:v>Planned</x:v>
      </x:c>
      <x:c r="E16" s="43" t="str"/>
      <x:c r="F16" s="43" t="str"/>
      <x:c r="G16" s="43" t="str"/>
      <x:c r="H16" s="43" t="str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Satellite Simulation</x:v>
      </x:c>
      <x:c r="B17" s="43" t="str">
        <x:v>Two 2.4 GHz WiFi routers connected wirelessly; latency simulated on Pi</x:v>
      </x:c>
      <x:c r="C17" s="43" t="str">
        <x:v>Practical simulation of LEO path without Starlink</x:v>
      </x:c>
      <x:c r="D17" s="43" t="str">
        <x:v>Planned</x:v>
      </x:c>
      <x:c r="E17" s="43" t="str"/>
      <x:c r="F17" s="43" t="str"/>
      <x:c r="G17" s="43" t="str"/>
      <x:c r="H17" s="43" t="str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Routing</x:v>
      </x:c>
      <x:c r="B18" s="43" t="str">
        <x:v>Reliable controlled mesh now; AODV-like later</x:v>
      </x:c>
      <x:c r="C18" s="43" t="str">
        <x:v>Lower risk and easier debugging</x:v>
      </x:c>
      <x:c r="D18" s="43" t="str">
        <x:v>Planned</x:v>
      </x:c>
      <x:c r="E18" s="43" t="str"/>
      <x:c r="F18" s="43" t="str"/>
      <x:c r="G18" s="43" t="str"/>
      <x:c r="H18" s="43" t="str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8" t="str">
        <x:v>PUP MANET Implementation Workbook /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Purpose</x:v>
      </x:c>
      <x:c r="B3" s="43" t="str">
        <x:v>This workbook is the working implementation tracker for the low-cost emergency messaging MANET prototype. Update it after every completed step so a new chat can continue from the workbook.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Project Basis</x:v>
      </x:c>
      <x:c r="B4" s="43" t="str">
        <x:v>MANET_UPdated.docx objectives: 6 MANET nodes total, ESP32 + SX1278 Ra-02 433 MHz, Raspberry Pi 3B gateway, WiFi router simulated LEO-satellite path, RSSI/SNR/hop/battery monitoring, reliable messaging, adaptive failover.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Implementation Order</x:v>
      </x:c>
      <x:c r="B5" s="43" t="str">
        <x:v>1) Simulation first. 2) ESP32 PlatformIO firmware. 3) Raspberry Pi gateway software. 4) Android messaging/chat app. 5) Full integrated testing.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Important Design Decision</x:v>
      </x:c>
      <x:c r="B6" s="43" t="str">
        <x:v>Start with a controlled reliable LoRa mesh protocol instead of full AODV. Add AODV-like route discovery later after baseline messaging is stable.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Source References</x:v>
      </x:c>
      <x:c r="B7" s="43" t="str">
        <x:v>Project document: MANET_UPdated.docx. Frequency reference: Meshtastic LoRa region table for PH_433/PH_868/PH_915. Regulatory caution: NTC SRD rules/non-interference basis.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How to Use</x:v>
      </x:c>
      <x:c r="B8" s="43" t="str">
        <x:v>Complete one step at a time. Mark Status as Done only after validation passes. Fill Actual Result, Evidence, Date Completed, and Notes.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8" hidden="0" customWidth="1"/>
    <x:col min="4" max="4" width="46" hidden="0" customWidth="1"/>
    <x:col min="5" max="5" width="38" hidden="0" customWidth="1"/>
    <x:col min="6" max="6" width="30" hidden="0" customWidth="1"/>
    <x:col min="7" max="7" width="42" hidden="0" customWidth="1"/>
    <x:col min="8" max="8" width="16" hidden="0" customWidth="1"/>
  </x:cols>
  <x:sheetData>
    <x:row r="1">
      <x:c r="A1" s="38" t="str">
        <x:v>System Architecture Recommendation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Component</x:v>
      </x:c>
      <x:c r="B3" s="42" t="str">
        <x:v>Quantity</x:v>
      </x:c>
      <x:c r="C3" s="42" t="str">
        <x:v>Role</x:v>
      </x:c>
      <x:c r="D3" s="42" t="str">
        <x:v>Implementation Recommendation</x:v>
      </x:c>
      <x:c r="E3" s="42" t="str">
        <x:v>Why</x:v>
      </x:c>
      <x:c r="F3" s="42" t="str">
        <x:v>Risk</x:v>
      </x:c>
      <x:c r="G3" s="42" t="str">
        <x:v>Mitigation</x:v>
      </x:c>
      <x:c r="H3" s="42" t="str">
        <x:v>Status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ESP32 LoRa Node</x:v>
      </x:c>
      <x:c r="B4" s="43" t="str">
        <x:v>6</x:v>
      </x:c>
      <x:c r="C4" s="43" t="str">
        <x:v>MANET message endpoint/relay</x:v>
      </x:c>
      <x:c r="D4" s="43" t="str">
        <x:v>Start in simulation mode, then deploy physical nodes</x:v>
      </x:c>
      <x:c r="E4" s="43" t="str">
        <x:v>Keeps firmware simple and testable</x:v>
      </x:c>
      <x:c r="F4" s="43" t="str">
        <x:v>LoRa routing bugs</x:v>
      </x:c>
      <x:c r="G4" s="43" t="str">
        <x:v>Use message IDs, ACKs, retries, logs</x:v>
      </x:c>
      <x:c r="H4" s="43" t="str">
        <x:v>Planned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Raspberry Pi 3B Gateway</x:v>
      </x:c>
      <x:c r="B5" s="43" t="str">
        <x:v>2</x:v>
      </x:c>
      <x:c r="C5" s="43" t="str">
        <x:v>Bridge between local LoRa network and WiFi router path</x:v>
      </x:c>
      <x:c r="D5" s="43" t="str">
        <x:v>Direct SPI LoRa module to Pi; Python gateway service</x:v>
      </x:c>
      <x:c r="E5" s="43" t="str">
        <x:v>Supports routing decisions and dashboard</x:v>
      </x:c>
      <x:c r="F5" s="43" t="str">
        <x:v>SPI wiring/library issues</x:v>
      </x:c>
      <x:c r="G5" s="43" t="str">
        <x:v>Test LoRa receive/send before routing</x:v>
      </x:c>
      <x:c r="H5" s="43" t="str">
        <x:v>Planned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WiFi Router 2.4 GHz</x:v>
      </x:c>
      <x:c r="B6" s="43" t="str">
        <x:v>2</x:v>
      </x:c>
      <x:c r="C6" s="43" t="str">
        <x:v>Simulated satellite terminal/path</x:v>
      </x:c>
      <x:c r="D6" s="43" t="str">
        <x:v>Wireless router-to-router link if supported; otherwise one router as AP and one as client/bridge</x:v>
      </x:c>
      <x:c r="E6" s="43" t="str">
        <x:v>Matches available hardware</x:v>
      </x:c>
      <x:c r="F6" s="43" t="str">
        <x:v>Consumer routers may not support wireless bridge</x:v>
      </x:c>
      <x:c r="G6" s="43" t="str">
        <x:v>Use travel router/OpenWrt or cable fallback for lab only</x:v>
      </x:c>
      <x:c r="H6" s="43" t="str">
        <x:v>Planned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Android App</x:v>
      </x:c>
      <x:c r="B7" s="43" t="str">
        <x:v>1 app</x:v>
      </x:c>
      <x:c r="C7" s="43" t="str">
        <x:v>Messaging UI</x:v>
      </x:c>
      <x:c r="D7" s="43" t="str">
        <x:v>Develop after gateway API is stable</x:v>
      </x:c>
      <x:c r="E7" s="43" t="str">
        <x:v>Avoids premature app rewrite</x:v>
      </x:c>
      <x:c r="F7" s="43" t="str">
        <x:v>API changes</x:v>
      </x:c>
      <x:c r="G7" s="43" t="str">
        <x:v>Freeze REST/WebSocket API before Android phase</x:v>
      </x:c>
      <x:c r="H7" s="43" t="str">
        <x:v>Planned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GSM Network</x:v>
      </x:c>
      <x:c r="B8" s="43" t="str">
        <x:v>Optional later</x:v>
      </x:c>
      <x:c r="C8" s="43" t="str">
        <x:v>Fallback path</x:v>
      </x:c>
      <x:c r="D8" s="43" t="str">
        <x:v>Add after LoRa+WiFi failover works</x:v>
      </x:c>
      <x:c r="E8" s="43" t="str">
        <x:v>SMS latency/cost/network dependency</x:v>
      </x:c>
      <x:c r="F8" s="43" t="str">
        <x:v>Abstract transports behind common message API</x:v>
      </x:c>
      <x:c r="G8" s="43" t="str">
        <x:v>Future</x:v>
      </x:c>
      <x:c r="H8" s="43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49" t="str">
        <x:v>Added Diagram References</x:v>
      </x:c>
      <x:c r="B10" s="160"/>
      <x:c r="C10" s="160"/>
      <x:c r="D10" s="160"/>
      <x:c r="E10" s="160"/>
      <x:c r="F10" s="160"/>
      <x:c r="G10" s="160"/>
      <x:c r="H10" s="161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31" t="str">
        <x:v>System Diagram</x:v>
      </x:c>
      <x:c r="B11" s="119" t="str">
        <x:v>Editable system architecture diagram showing 2 networks, 6 MANET nodes, 2 gateways, 2 WiFi routers, Android users, and simulated satellite path.</x:v>
      </x:c>
      <x:c r="C11" s="119" t="str"/>
      <x:c r="D11" s="119" t="str"/>
      <x:c r="E11" s="119" t="str"/>
      <x:c r="F11" s="119" t="str"/>
      <x:c r="G11" s="119" t="str"/>
      <x:c r="H11" s="120" t="str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31" t="str">
        <x:v>Data Flow</x:v>
      </x:c>
      <x:c r="B12" s="119" t="str">
        <x:v>Editable message/data flow diagram showing local delivery, next-network routing, failover, recovery, ACK/retry, and simulation mode.</x:v>
      </x:c>
      <x:c r="C12" s="119" t="str"/>
      <x:c r="D12" s="119" t="str"/>
      <x:c r="E12" s="119" t="str"/>
      <x:c r="F12" s="119" t="str"/>
      <x:c r="G12" s="119" t="str"/>
      <x:c r="H12" s="120" t="str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32" t="str">
        <x:v>Development Order</x:v>
      </x:c>
      <x:c r="B13" s="122" t="str">
        <x:v>Simulation → ESP32 PlatformIO code → Raspberry Pi gateway code → Android chat app.</x:v>
      </x:c>
      <x:c r="C13" s="122" t="str"/>
      <x:c r="D13" s="122" t="str"/>
      <x:c r="E13" s="122" t="str"/>
      <x:c r="F13" s="122" t="str"/>
      <x:c r="G13" s="122" t="str"/>
      <x:c r="H13" s="123" t="str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0:H10"/>
    <x:mergeCell ref="B11:H11"/>
    <x:mergeCell ref="B12:H12"/>
    <x:mergeCell ref="B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36" hidden="0" customWidth="1"/>
    <x:col min="5" max="5" width="36" hidden="0" customWidth="1"/>
    <x:col min="6" max="6" width="42" hidden="0" customWidth="1"/>
    <x:col min="7" max="7" width="24" hidden="0" customWidth="1"/>
    <x:col min="8" max="8" width="16" hidden="0" customWidth="1"/>
    <x:col min="9" max="9" width="42" hidden="0" customWidth="1"/>
  </x:cols>
  <x:sheetData>
    <x:row r="1">
      <x:c r="A1" s="38" t="str">
        <x:v>Staged Implementation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Phase</x:v>
      </x:c>
      <x:c r="B3" s="42" t="str">
        <x:v>Name</x:v>
      </x:c>
      <x:c r="C3" s="42" t="str">
        <x:v>Goal</x:v>
      </x:c>
      <x:c r="D3" s="42" t="str">
        <x:v>Primary Output</x:v>
      </x:c>
      <x:c r="E3" s="42" t="str">
        <x:v>Entry Criteria</x:v>
      </x:c>
      <x:c r="F3" s="42" t="str">
        <x:v>Exit Criteria</x:v>
      </x:c>
      <x:c r="G3" s="42" t="str">
        <x:v>Main Tools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0</x:v>
      </x:c>
      <x:c r="B4" s="43" t="str">
        <x:v>Project Baseline</x:v>
      </x:c>
      <x:c r="C4" s="43" t="str">
        <x:v>Finalize architecture and workbook</x:v>
      </x:c>
      <x:c r="D4" s="43" t="str">
        <x:v>Approved workbook and topology</x:v>
      </x:c>
      <x:c r="E4" s="43" t="str">
        <x:v>User confirms direction</x:v>
      </x:c>
      <x:c r="F4" s="43" t="str">
        <x:v>Workbook ready and first active step chosen</x:v>
      </x:c>
      <x:c r="G4" s="43" t="str">
        <x:v>Excel/ChatGPT</x:v>
      </x:c>
      <x:c r="H4" s="43" t="str">
        <x:v>In Progress</x:v>
      </x:c>
      <x:c r="I4" s="43" t="str">
        <x:v>This file is the baseline plan.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1</x:v>
      </x:c>
      <x:c r="B5" s="43" t="str">
        <x:v>Simulation Core</x:v>
      </x:c>
      <x:c r="C5" s="43" t="str">
        <x:v>Simulate 6 nodes and 2 gateways on Mac/Pi</x:v>
      </x:c>
      <x:c r="D5" s="43" t="str">
        <x:v>Python simulator with routing/failover logs</x:v>
      </x:c>
      <x:c r="E5" s="43" t="str">
        <x:v>Workbook approved</x:v>
      </x:c>
      <x:c r="F5" s="43" t="str">
        <x:v>Message routing between Network A and B simulated</x:v>
      </x:c>
      <x:c r="G5" s="43" t="str">
        <x:v>VS Code, Python</x:v>
      </x:c>
      <x:c r="H5" s="43" t="str">
        <x:v>Not Started</x:v>
      </x:c>
      <x:c r="I5" s="43" t="str">
        <x:v>No hardware needed yet.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2</x:v>
      </x:c>
      <x:c r="B6" s="43" t="str">
        <x:v>ESP32 LoRa Firmware</x:v>
      </x:c>
      <x:c r="C6" s="43" t="str">
        <x:v>Build PlatformIO firmware for LoRa messaging</x:v>
      </x:c>
      <x:c r="D6" s="43" t="str">
        <x:v>Firmware for node relay and serial debug</x:v>
      </x:c>
      <x:c r="E6" s="43" t="str">
        <x:v>Simulation packet format frozen</x:v>
      </x:c>
      <x:c r="F6" s="43" t="str">
        <x:v>Physical node-to-node message send/ACK works</x:v>
      </x:c>
      <x:c r="G6" s="43" t="str">
        <x:v>VS Code, PlatformIO</x:v>
      </x:c>
      <x:c r="H6" s="43" t="str">
        <x:v>Not Started</x:v>
      </x:c>
      <x:c r="I6" s="43" t="str">
        <x:v>Start with 2 nodes, then 6.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3</x:v>
      </x:c>
      <x:c r="B7" s="43" t="str">
        <x:v>Raspberry Pi Gateway</x:v>
      </x:c>
      <x:c r="C7" s="43" t="str">
        <x:v>Build gateway service and dashboard</x:v>
      </x:c>
      <x:c r="D7" s="43" t="str">
        <x:v>Python service + Flask dashboard</x:v>
      </x:c>
      <x:c r="E7" s="43" t="str">
        <x:v>ESP32 packet format stable</x:v>
      </x:c>
      <x:c r="F7" s="43" t="str">
        <x:v>Gateway sends/receives LoRa and routes to WiFi path</x:v>
      </x:c>
      <x:c r="G7" s="43" t="str">
        <x:v>Raspberry Pi 3B, Python</x:v>
      </x:c>
      <x:c r="H7" s="43" t="str">
        <x:v>Not Started</x:v>
      </x:c>
      <x:c r="I7" s="43" t="str">
        <x:v>Direct LoRa module on Pi.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4</x:v>
      </x:c>
      <x:c r="B8" s="43" t="str">
        <x:v>Router/Satellite Simulation</x:v>
      </x:c>
      <x:c r="C8" s="43" t="str">
        <x:v>Connect two network gateways over WiFi routers</x:v>
      </x:c>
      <x:c r="D8" s="43" t="str">
        <x:v>Inter-network messaging with artificial latency</x:v>
      </x:c>
      <x:c r="E8" s="43" t="str">
        <x:v>Gateway API stable</x:v>
      </x:c>
      <x:c r="F8" s="43" t="str">
        <x:v>Network A can deliver to Network B through WiFi path</x:v>
      </x:c>
      <x:c r="G8" s="43" t="str">
        <x:v>Linux tc/netem, routers</x:v>
      </x:c>
      <x:c r="H8" s="43" t="str">
        <x:v>Not Started</x:v>
      </x:c>
      <x:c r="I8" s="43" t="str">
        <x:v>Use 500-700 ms delay.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5</x:v>
      </x:c>
      <x:c r="B9" s="43" t="str">
        <x:v>Android Chat App</x:v>
      </x:c>
      <x:c r="C9" s="43" t="str">
        <x:v>Create Android messaging app</x:v>
      </x:c>
      <x:c r="D9" s="43" t="str">
        <x:v>Android Studio project</x:v>
      </x:c>
      <x:c r="E9" s="43" t="str">
        <x:v>Gateway REST/WebSocket API stable</x:v>
      </x:c>
      <x:c r="F9" s="43" t="str">
        <x:v>Android app sends/receives via active transport</x:v>
      </x:c>
      <x:c r="G9" s="43" t="str">
        <x:v>Android Studio Kotlin</x:v>
      </x:c>
      <x:c r="H9" s="43" t="str">
        <x:v>Not Started</x:v>
      </x:c>
      <x:c r="I9" s="43" t="str">
        <x:v>LoRa/WiFi/GSM transport awareness.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6</x:v>
      </x:c>
      <x:c r="B10" s="43" t="str">
        <x:v>Integrated Test Campaign</x:v>
      </x:c>
      <x:c r="C10" s="43" t="str">
        <x:v>Validate acceptance criteria</x:v>
      </x:c>
      <x:c r="D10" s="43" t="str">
        <x:v>Signed test results and logs</x:v>
      </x:c>
      <x:c r="E10" s="43" t="str">
        <x:v>All components working</x:v>
      </x:c>
      <x:c r="F10" s="43" t="str">
        <x:v>PDR, failover, recovery, uptime targets measured</x:v>
      </x:c>
      <x:c r="G10" s="43" t="str">
        <x:v>Workbook + logs</x:v>
      </x:c>
      <x:c r="H10" s="43" t="str">
        <x:v>Not Started</x:v>
      </x:c>
      <x:c r="I10" s="43" t="str">
        <x:v>Use Test Campaign sheet.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44" hidden="0" customWidth="1"/>
    <x:col min="5" max="5" width="40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34" hidden="0" customWidth="1"/>
    <x:col min="12" max="12" width="38" hidden="0" customWidth="1"/>
  </x:cols>
  <x:sheetData>
    <x:row r="1">
      <x:c r="A1" s="38" t="str">
        <x:v>Detailed Step Tracker - Update After Every Completed Step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2" t="str">
        <x:v>Step ID</x:v>
      </x:c>
      <x:c r="B2" s="42" t="str">
        <x:v>Phase</x:v>
      </x:c>
      <x:c r="C2" s="42" t="str">
        <x:v>Stage</x:v>
      </x:c>
      <x:c r="D2" s="42" t="str">
        <x:v>Action / Procedure</x:v>
      </x:c>
      <x:c r="E2" s="42" t="str">
        <x:v>Validation / Expected Result</x:v>
      </x:c>
      <x:c r="F2" s="42" t="str">
        <x:v>Status</x:v>
      </x:c>
      <x:c r="G2" s="42" t="str">
        <x:v>Owner</x:v>
      </x:c>
      <x:c r="H2" s="42" t="str">
        <x:v>Date Started</x:v>
      </x:c>
      <x:c r="I2" s="42" t="str">
        <x:v>Date Completed</x:v>
      </x:c>
      <x:c r="J2" s="42" t="str">
        <x:v>Actual Result</x:v>
      </x:c>
      <x:c r="K2" s="42" t="str">
        <x:v>Evidence / File / Screenshot</x:v>
      </x:c>
      <x:c r="L2" s="42" t="str">
        <x:v>Notes</x:v>
      </x:c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3" t="str">
        <x:v>0.1</x:v>
      </x:c>
      <x:c r="B3" s="43" t="str">
        <x:v>0 Baseline</x:v>
      </x:c>
      <x:c r="C3" s="43" t="str">
        <x:v>Workbook</x:v>
      </x:c>
      <x:c r="D3" s="43" t="str">
        <x:v>Review workbook sheets and confirm architecture</x:v>
      </x:c>
      <x:c r="E3" s="43" t="str">
        <x:v>Architecture accepted or edits listed</x:v>
      </x:c>
      <x:c r="F3" s="43" t="str">
        <x:v>In Progress</x:v>
      </x:c>
      <x:c r="G3" s="43" t="str"/>
      <x:c r="H3" s="43" t="str"/>
      <x:c r="I3" s="43" t="str"/>
      <x:c r="J3" s="43" t="str"/>
      <x:c r="K3" s="43" t="str"/>
      <x:c r="L3" s="43" t="str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0.2</x:v>
      </x:c>
      <x:c r="B4" s="43" t="str">
        <x:v>0 Baseline</x:v>
      </x:c>
      <x:c r="C4" s="43" t="str">
        <x:v>Topology</x:v>
      </x:c>
      <x:c r="D4" s="43" t="str">
        <x:v>Confirm 6-node topology: Network A has 3 nodes, Network B has 3 nodes, each with gateway and WiFi router</x:v>
      </x:c>
      <x:c r="E4" s="43" t="str">
        <x:v>Topology confirmed</x:v>
      </x:c>
      <x:c r="F4" s="43" t="str">
        <x:v>Not Started</x:v>
      </x:c>
      <x:c r="G4" s="43" t="str"/>
      <x:c r="H4" s="43" t="str"/>
      <x:c r="I4" s="43" t="str"/>
      <x:c r="J4" s="43" t="str"/>
      <x:c r="K4" s="43" t="str"/>
      <x:c r="L4" s="43" t="str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0.3</x:v>
      </x:c>
      <x:c r="B5" s="43" t="str">
        <x:v>0 Baseline</x:v>
      </x:c>
      <x:c r="C5" s="43" t="str">
        <x:v>Frequency</x:v>
      </x:c>
      <x:c r="D5" s="43" t="str">
        <x:v>Confirm prototype frequency and power setting for SX1278 Ra-02 433 MHz</x:v>
      </x:c>
      <x:c r="E5" s="43" t="str">
        <x:v>Selected LoRa settings documented</x:v>
      </x:c>
      <x:c r="F5" s="43" t="str">
        <x:v>Not Started</x:v>
      </x:c>
      <x:c r="G5" s="43" t="str"/>
      <x:c r="H5" s="43" t="str"/>
      <x:c r="I5" s="43" t="str"/>
      <x:c r="J5" s="43" t="str"/>
      <x:c r="K5" s="43" t="str"/>
      <x:c r="L5" s="43" t="str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1.1</x:v>
      </x:c>
      <x:c r="B6" s="43" t="str">
        <x:v>1 Simulation</x:v>
      </x:c>
      <x:c r="C6" s="43" t="str">
        <x:v>Packet Model</x:v>
      </x:c>
      <x:c r="D6" s="43" t="str">
        <x:v>Create JSON packet model for message, ACK, HELLO, route advert, gateway advert</x:v>
      </x:c>
      <x:c r="E6" s="43" t="str">
        <x:v>Simulator accepts packet schema</x:v>
      </x:c>
      <x:c r="F6" s="43" t="str">
        <x:v>Not Started</x:v>
      </x:c>
      <x:c r="G6" s="43" t="str"/>
      <x:c r="H6" s="43" t="str"/>
      <x:c r="I6" s="43" t="str"/>
      <x:c r="J6" s="43" t="str"/>
      <x:c r="K6" s="43" t="str"/>
      <x:c r="L6" s="43" t="str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1.2</x:v>
      </x:c>
      <x:c r="B7" s="43" t="str">
        <x:v>1 Simulation</x:v>
      </x:c>
      <x:c r="C7" s="43" t="str">
        <x:v>Six Nodes</x:v>
      </x:c>
      <x:c r="D7" s="43" t="str">
        <x:v>Simulate six nodes: A1-A3 and B1-B3 with two gateways GWA/GWB</x:v>
      </x:c>
      <x:c r="E7" s="43" t="str">
        <x:v>All simulated nodes appear in log</x:v>
      </x:c>
      <x:c r="F7" s="43" t="str">
        <x:v>Not Started</x:v>
      </x:c>
      <x:c r="G7" s="43" t="str"/>
      <x:c r="H7" s="43" t="str"/>
      <x:c r="I7" s="43" t="str"/>
      <x:c r="J7" s="43" t="str"/>
      <x:c r="K7" s="43" t="str"/>
      <x:c r="L7" s="43" t="str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1.3</x:v>
      </x:c>
      <x:c r="B8" s="43" t="str">
        <x:v>1 Simulation</x:v>
      </x:c>
      <x:c r="C8" s="43" t="str">
        <x:v>Local Delivery</x:v>
      </x:c>
      <x:c r="D8" s="43" t="str">
        <x:v>Send message from A1 to A2 and A3 through simulated local routing</x:v>
      </x:c>
      <x:c r="E8" s="43" t="str">
        <x:v>Message delivered with ACK</x:v>
      </x:c>
      <x:c r="F8" s="43" t="str">
        <x:v>Not Started</x:v>
      </x:c>
      <x:c r="G8" s="43" t="str"/>
      <x:c r="H8" s="43" t="str"/>
      <x:c r="I8" s="43" t="str"/>
      <x:c r="J8" s="43" t="str"/>
      <x:c r="K8" s="43" t="str"/>
      <x:c r="L8" s="43" t="str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1.4</x:v>
      </x:c>
      <x:c r="B9" s="43" t="str">
        <x:v>1 Simulation</x:v>
      </x:c>
      <x:c r="C9" s="43" t="str">
        <x:v>Inter-network Delivery</x:v>
      </x:c>
      <x:c r="D9" s="43" t="str">
        <x:v>When destination is not found locally, route message from Network A to Network B via gateway/WiFi path</x:v>
      </x:c>
      <x:c r="E9" s="43" t="str">
        <x:v>A1 can send to B1/B2/B3</x:v>
      </x:c>
      <x:c r="F9" s="43" t="str">
        <x:v>Not Started</x:v>
      </x:c>
      <x:c r="G9" s="43" t="str"/>
      <x:c r="H9" s="43" t="str"/>
      <x:c r="I9" s="43" t="str"/>
      <x:c r="J9" s="43" t="str"/>
      <x:c r="K9" s="43" t="str"/>
      <x:c r="L9" s="43" t="str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1.5</x:v>
      </x:c>
      <x:c r="B10" s="43" t="str">
        <x:v>1 Simulation</x:v>
      </x:c>
      <x:c r="C10" s="43" t="str">
        <x:v>Failover Logic</x:v>
      </x:c>
      <x:c r="D10" s="43" t="str">
        <x:v>Simulate local link failure and activate WiFi-router path after 10 seconds</x:v>
      </x:c>
      <x:c r="E10" s="43" t="str">
        <x:v>Failover logged and messages buffered/retried</x:v>
      </x:c>
      <x:c r="F10" s="43" t="str">
        <x:v>Not Started</x:v>
      </x:c>
      <x:c r="G10" s="43" t="str"/>
      <x:c r="H10" s="43" t="str"/>
      <x:c r="I10" s="43" t="str"/>
      <x:c r="J10" s="43" t="str"/>
      <x:c r="K10" s="43" t="str"/>
      <x:c r="L10" s="43" t="str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1.6</x:v>
      </x:c>
      <x:c r="B11" s="43" t="str">
        <x:v>1 Simulation</x:v>
      </x:c>
      <x:c r="C11" s="43" t="str">
        <x:v>Recovery Logic</x:v>
      </x:c>
      <x:c r="D11" s="43" t="str">
        <x:v>Restore local path and revert after stable recovery time</x:v>
      </x:c>
      <x:c r="E11" s="43" t="str">
        <x:v>Recovery logged with no duplicate delivery</x:v>
      </x:c>
      <x:c r="F11" s="43" t="str">
        <x:v>Not Started</x:v>
      </x:c>
      <x:c r="G11" s="43" t="str"/>
      <x:c r="H11" s="43" t="str"/>
      <x:c r="I11" s="43" t="str"/>
      <x:c r="J11" s="43" t="str"/>
      <x:c r="K11" s="43" t="str"/>
      <x:c r="L11" s="43" t="str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2.1</x:v>
      </x:c>
      <x:c r="B12" s="43" t="str">
        <x:v>2 ESP32</x:v>
      </x:c>
      <x:c r="C12" s="43" t="str">
        <x:v>PlatformIO Project</x:v>
      </x:c>
      <x:c r="D12" s="43" t="str">
        <x:v>Create ESP32 PlatformIO project with SX1278 library and node config</x:v>
      </x:c>
      <x:c r="E12" s="43" t="str">
        <x:v>Project builds successfully</x:v>
      </x:c>
      <x:c r="F12" s="43" t="str">
        <x:v>Not Started</x:v>
      </x:c>
      <x:c r="G12" s="43" t="str"/>
      <x:c r="H12" s="43" t="str"/>
      <x:c r="I12" s="43" t="str"/>
      <x:c r="J12" s="43" t="str"/>
      <x:c r="K12" s="43" t="str"/>
      <x:c r="L12" s="43" t="str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2.2</x:v>
      </x:c>
      <x:c r="B13" s="43" t="str">
        <x:v>2 ESP32</x:v>
      </x:c>
      <x:c r="C13" s="43" t="str">
        <x:v>LoRa Wiring Test</x:v>
      </x:c>
      <x:c r="D13" s="43" t="str">
        <x:v>Wire one ESP32 to SX1278 and run send/receive test</x:v>
      </x:c>
      <x:c r="E13" s="43" t="str">
        <x:v>Radio initializes and sends packets</x:v>
      </x:c>
      <x:c r="F13" s="43" t="str">
        <x:v>Not Started</x:v>
      </x:c>
      <x:c r="G13" s="43" t="str"/>
      <x:c r="H13" s="43" t="str"/>
      <x:c r="I13" s="43" t="str"/>
      <x:c r="J13" s="43" t="str"/>
      <x:c r="K13" s="43" t="str"/>
      <x:c r="L13" s="43" t="str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2.3</x:v>
      </x:c>
      <x:c r="B14" s="43" t="str">
        <x:v>2 ESP32</x:v>
      </x:c>
      <x:c r="C14" s="43" t="str">
        <x:v>Two-node Test</x:v>
      </x:c>
      <x:c r="D14" s="43" t="str">
        <x:v>Flash two ESP32 nodes and test text message + ACK</x:v>
      </x:c>
      <x:c r="E14" s="43" t="str">
        <x:v>PDR &gt;=95% at short range</x:v>
      </x:c>
      <x:c r="F14" s="43" t="str">
        <x:v>Not Started</x:v>
      </x:c>
      <x:c r="G14" s="43" t="str"/>
      <x:c r="H14" s="43" t="str"/>
      <x:c r="I14" s="43" t="str"/>
      <x:c r="J14" s="43" t="str"/>
      <x:c r="K14" s="43" t="str"/>
      <x:c r="L14" s="43" t="str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2.4</x:v>
      </x:c>
      <x:c r="B15" s="43" t="str">
        <x:v>2 ESP32</x:v>
      </x:c>
      <x:c r="C15" s="43" t="str">
        <x:v>Six-node Test</x:v>
      </x:c>
      <x:c r="D15" s="43" t="str">
        <x:v>Flash six nodes with IDs A1-A3/B1-B3</x:v>
      </x:c>
      <x:c r="E15" s="43" t="str">
        <x:v>All nodes send HELLO packets</x:v>
      </x:c>
      <x:c r="F15" s="43" t="str">
        <x:v>Not Started</x:v>
      </x:c>
      <x:c r="G15" s="43" t="str"/>
      <x:c r="H15" s="43" t="str"/>
      <x:c r="I15" s="43" t="str"/>
      <x:c r="J15" s="43" t="str"/>
      <x:c r="K15" s="43" t="str"/>
      <x:c r="L15" s="43" t="str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2.5</x:v>
      </x:c>
      <x:c r="B16" s="43" t="str">
        <x:v>2 ESP32</x:v>
      </x:c>
      <x:c r="C16" s="43" t="str">
        <x:v>Battery Metric</x:v>
      </x:c>
      <x:c r="D16" s="43" t="str">
        <x:v>Add battery percentage reading through voltage divider</x:v>
      </x:c>
      <x:c r="E16" s="43" t="str">
        <x:v>Battery shown in HELLO packet</x:v>
      </x:c>
      <x:c r="F16" s="43" t="str">
        <x:v>Not Started</x:v>
      </x:c>
      <x:c r="G16" s="43" t="str"/>
      <x:c r="H16" s="43" t="str"/>
      <x:c r="I16" s="43" t="str"/>
      <x:c r="J16" s="43" t="str"/>
      <x:c r="K16" s="43" t="str"/>
      <x:c r="L16" s="43" t="str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3.1</x:v>
      </x:c>
      <x:c r="B17" s="43" t="str">
        <x:v>3 Gateway</x:v>
      </x:c>
      <x:c r="C17" s="43" t="str">
        <x:v>Pi LoRa Wiring</x:v>
      </x:c>
      <x:c r="D17" s="43" t="str">
        <x:v>Connect SX1278 directly to Raspberry Pi 3B SPI</x:v>
      </x:c>
      <x:c r="E17" s="43" t="str">
        <x:v>Pi can initialize radio</x:v>
      </x:c>
      <x:c r="F17" s="43" t="str">
        <x:v>Not Started</x:v>
      </x:c>
      <x:c r="G17" s="43" t="str"/>
      <x:c r="H17" s="43" t="str"/>
      <x:c r="I17" s="43" t="str"/>
      <x:c r="J17" s="43" t="str"/>
      <x:c r="K17" s="43" t="str"/>
      <x:c r="L17" s="43" t="str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3.2</x:v>
      </x:c>
      <x:c r="B18" s="43" t="str">
        <x:v>3 Gateway</x:v>
      </x:c>
      <x:c r="C18" s="43" t="str">
        <x:v>Python Gateway Service</x:v>
      </x:c>
      <x:c r="D18" s="43" t="str">
        <x:v>Create Python service to receive/transmit LoRa packets</x:v>
      </x:c>
      <x:c r="E18" s="43" t="str">
        <x:v>Gateway logs LoRa packets</x:v>
      </x:c>
      <x:c r="F18" s="43" t="str">
        <x:v>Not Started</x:v>
      </x:c>
      <x:c r="G18" s="43" t="str"/>
      <x:c r="H18" s="43" t="str"/>
      <x:c r="I18" s="43" t="str"/>
      <x:c r="J18" s="43" t="str"/>
      <x:c r="K18" s="43" t="str"/>
      <x:c r="L18" s="43" t="str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 t="str">
        <x:v>3.3</x:v>
      </x:c>
      <x:c r="B19" s="43" t="str">
        <x:v>3 Gateway</x:v>
      </x:c>
      <x:c r="C19" s="43" t="str">
        <x:v>Dashboard</x:v>
      </x:c>
      <x:c r="D19" s="43" t="str">
        <x:v>Create Flask dashboard showing nodes, messages, routes, RSSI/SNR</x:v>
      </x:c>
      <x:c r="E19" s="43" t="str">
        <x:v>Dashboard works on LAN</x:v>
      </x:c>
      <x:c r="F19" s="43" t="str">
        <x:v>Not Started</x:v>
      </x:c>
      <x:c r="G19" s="43" t="str"/>
      <x:c r="H19" s="43" t="str"/>
      <x:c r="I19" s="43" t="str"/>
      <x:c r="J19" s="43" t="str"/>
      <x:c r="K19" s="43" t="str"/>
      <x:c r="L19" s="43" t="str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 t="str">
        <x:v>3.4</x:v>
      </x:c>
      <x:c r="B20" s="43" t="str">
        <x:v>3 Gateway</x:v>
      </x:c>
      <x:c r="C20" s="43" t="str">
        <x:v>Message Database</x:v>
      </x:c>
      <x:c r="D20" s="43" t="str">
        <x:v>Store messages, ACKs, route events, and errors in SQLite</x:v>
      </x:c>
      <x:c r="E20" s="43" t="str">
        <x:v>Database persists after restart</x:v>
      </x:c>
      <x:c r="F20" s="43" t="str">
        <x:v>Not Started</x:v>
      </x:c>
      <x:c r="G20" s="43" t="str"/>
      <x:c r="H20" s="43" t="str"/>
      <x:c r="I20" s="43" t="str"/>
      <x:c r="J20" s="43" t="str"/>
      <x:c r="K20" s="43" t="str"/>
      <x:c r="L20" s="43" t="str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 t="str">
        <x:v>4.1</x:v>
      </x:c>
      <x:c r="B21" s="43" t="str">
        <x:v>4 Router Simulation</x:v>
      </x:c>
      <x:c r="C21" s="43" t="str">
        <x:v>Router Setup</x:v>
      </x:c>
      <x:c r="D21" s="43" t="str">
        <x:v>Configure two WiFi routers for wireless connection/bridge simulation</x:v>
      </x:c>
      <x:c r="E21" s="43" t="str">
        <x:v>Gateways can ping each other through routers</x:v>
      </x:c>
      <x:c r="F21" s="43" t="str">
        <x:v>Not Started</x:v>
      </x:c>
      <x:c r="G21" s="43" t="str"/>
      <x:c r="H21" s="43" t="str"/>
      <x:c r="I21" s="43" t="str"/>
      <x:c r="J21" s="43" t="str"/>
      <x:c r="K21" s="43" t="str"/>
      <x:c r="L21" s="43" t="str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 t="str">
        <x:v>4.2</x:v>
      </x:c>
      <x:c r="B22" s="43" t="str">
        <x:v>4 Router Simulation</x:v>
      </x:c>
      <x:c r="C22" s="43" t="str">
        <x:v>Latency Simulation</x:v>
      </x:c>
      <x:c r="D22" s="43" t="str">
        <x:v>Apply 500-700 ms artificial delay using Linux tc/netem</x:v>
      </x:c>
      <x:c r="E22" s="43" t="str">
        <x:v>Ping latency matches target</x:v>
      </x:c>
      <x:c r="F22" s="43" t="str">
        <x:v>Not Started</x:v>
      </x:c>
      <x:c r="G22" s="43" t="str"/>
      <x:c r="H22" s="43" t="str"/>
      <x:c r="I22" s="43" t="str"/>
      <x:c r="J22" s="43" t="str"/>
      <x:c r="K22" s="43" t="str"/>
      <x:c r="L22" s="43" t="str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 t="str">
        <x:v>4.3</x:v>
      </x:c>
      <x:c r="B23" s="43" t="str">
        <x:v>4 Router Simulation</x:v>
      </x:c>
      <x:c r="C23" s="43" t="str">
        <x:v>Cross-network Routing</x:v>
      </x:c>
      <x:c r="D23" s="43" t="str">
        <x:v>Route messages from local gateway to remote gateway</x:v>
      </x:c>
      <x:c r="E23" s="43" t="str">
        <x:v>A network can message B network</x:v>
      </x:c>
      <x:c r="F23" s="43" t="str">
        <x:v>Not Started</x:v>
      </x:c>
      <x:c r="G23" s="43" t="str"/>
      <x:c r="H23" s="43" t="str"/>
      <x:c r="I23" s="43" t="str"/>
      <x:c r="J23" s="43" t="str"/>
      <x:c r="K23" s="43" t="str"/>
      <x:c r="L23" s="43" t="str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 t="str">
        <x:v>5.1</x:v>
      </x:c>
      <x:c r="B24" s="43" t="str">
        <x:v>5 Android</x:v>
      </x:c>
      <x:c r="C24" s="43" t="str">
        <x:v>Requirements</x:v>
      </x:c>
      <x:c r="D24" s="43" t="str">
        <x:v>Define Android screens, API endpoints, and transport states</x:v>
      </x:c>
      <x:c r="E24" s="43" t="str">
        <x:v>App design approved</x:v>
      </x:c>
      <x:c r="F24" s="43" t="str">
        <x:v>Not Started</x:v>
      </x:c>
      <x:c r="G24" s="43" t="str"/>
      <x:c r="H24" s="43" t="str"/>
      <x:c r="I24" s="43" t="str"/>
      <x:c r="J24" s="43" t="str"/>
      <x:c r="K24" s="43" t="str"/>
      <x:c r="L24" s="43" t="str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 t="str">
        <x:v>5.2</x:v>
      </x:c>
      <x:c r="B25" s="43" t="str">
        <x:v>5 Android</x:v>
      </x:c>
      <x:c r="C25" s="43" t="str">
        <x:v>Android Project</x:v>
      </x:c>
      <x:c r="D25" s="43" t="str">
        <x:v>Create Android Studio Kotlin project</x:v>
      </x:c>
      <x:c r="E25" s="43" t="str">
        <x:v>App builds and runs on emulator/device</x:v>
      </x:c>
      <x:c r="F25" s="43" t="str">
        <x:v>Not Started</x:v>
      </x:c>
      <x:c r="G25" s="43" t="str"/>
      <x:c r="H25" s="43" t="str"/>
      <x:c r="I25" s="43" t="str"/>
      <x:c r="J25" s="43" t="str"/>
      <x:c r="K25" s="43" t="str"/>
      <x:c r="L25" s="43" t="str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 t="str">
        <x:v>5.3</x:v>
      </x:c>
      <x:c r="B26" s="43" t="str">
        <x:v>5 Android</x:v>
      </x:c>
      <x:c r="C26" s="43" t="str">
        <x:v>Gateway API Integration</x:v>
      </x:c>
      <x:c r="D26" s="43" t="str">
        <x:v>Connect app to Pi gateway REST/WebSocket API</x:v>
      </x:c>
      <x:c r="E26" s="43" t="str">
        <x:v>App sends and receives messages</x:v>
      </x:c>
      <x:c r="F26" s="43" t="str">
        <x:v>Not Started</x:v>
      </x:c>
      <x:c r="G26" s="43" t="str"/>
      <x:c r="H26" s="43" t="str"/>
      <x:c r="I26" s="43" t="str"/>
      <x:c r="J26" s="43" t="str"/>
      <x:c r="K26" s="43" t="str"/>
      <x:c r="L26" s="43" t="str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 t="str">
        <x:v>5.4</x:v>
      </x:c>
      <x:c r="B27" s="43" t="str">
        <x:v>5 Android</x:v>
      </x:c>
      <x:c r="C27" s="43" t="str">
        <x:v>Transport Status UI</x:v>
      </x:c>
      <x:c r="D27" s="43" t="str">
        <x:v>Show LoRa/WiFi/GSM path status and message delivery state</x:v>
      </x:c>
      <x:c r="E27" s="43" t="str">
        <x:v>User can see active route</x:v>
      </x:c>
      <x:c r="F27" s="43" t="str">
        <x:v>Not Started</x:v>
      </x:c>
      <x:c r="G27" s="43" t="str"/>
      <x:c r="H27" s="43" t="str"/>
      <x:c r="I27" s="43" t="str"/>
      <x:c r="J27" s="43" t="str"/>
      <x:c r="K27" s="43" t="str"/>
      <x:c r="L27" s="43" t="str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 t="str">
        <x:v>6.1</x:v>
      </x:c>
      <x:c r="B28" s="43" t="str">
        <x:v>6 Testing</x:v>
      </x:c>
      <x:c r="C28" s="43" t="str">
        <x:v>Baseline Test</x:v>
      </x:c>
      <x:c r="D28" s="43" t="str">
        <x:v>Run baseline terrestrial LoRa messaging</x:v>
      </x:c>
      <x:c r="E28" s="43" t="str">
        <x:v>PDR &gt;=95%, MANET forms within 30s</x:v>
      </x:c>
      <x:c r="F28" s="43" t="str">
        <x:v>Not Started</x:v>
      </x:c>
      <x:c r="G28" s="43" t="str"/>
      <x:c r="H28" s="43" t="str"/>
      <x:c r="I28" s="43" t="str"/>
      <x:c r="J28" s="43" t="str"/>
      <x:c r="K28" s="43" t="str"/>
      <x:c r="L28" s="43" t="str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 t="str">
        <x:v>6.2</x:v>
      </x:c>
      <x:c r="B29" s="43" t="str">
        <x:v>6 Testing</x:v>
      </x:c>
      <x:c r="C29" s="43" t="str">
        <x:v>Degradation Test</x:v>
      </x:c>
      <x:c r="D29" s="43" t="str">
        <x:v>Move nodes/attenuate signal and monitor RSSI/SNR</x:v>
      </x:c>
      <x:c r="E29" s="43" t="str">
        <x:v>Degradation detected after threshold period</x:v>
      </x:c>
      <x:c r="F29" s="43" t="str">
        <x:v>Not Started</x:v>
      </x:c>
      <x:c r="G29" s="43" t="str"/>
      <x:c r="H29" s="43" t="str"/>
      <x:c r="I29" s="43" t="str"/>
      <x:c r="J29" s="43" t="str"/>
      <x:c r="K29" s="43" t="str"/>
      <x:c r="L29" s="43" t="str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 t="str">
        <x:v>6.3</x:v>
      </x:c>
      <x:c r="B30" s="43" t="str">
        <x:v>6 Testing</x:v>
      </x:c>
      <x:c r="C30" s="43" t="str">
        <x:v>Failover Test</x:v>
      </x:c>
      <x:c r="D30" s="43" t="str">
        <x:v>Disable/degrade local path and trigger WiFi-router backhaul</x:v>
      </x:c>
      <x:c r="E30" s="43" t="str">
        <x:v>Failover within configured delay</x:v>
      </x:c>
      <x:c r="F30" s="43" t="str">
        <x:v>Not Started</x:v>
      </x:c>
      <x:c r="G30" s="43" t="str"/>
      <x:c r="H30" s="43" t="str"/>
      <x:c r="I30" s="43" t="str"/>
      <x:c r="J30" s="43" t="str"/>
      <x:c r="K30" s="43" t="str"/>
      <x:c r="L30" s="43" t="str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 t="str">
        <x:v>6.4</x:v>
      </x:c>
      <x:c r="B31" s="43" t="str">
        <x:v>6 Testing</x:v>
      </x:c>
      <x:c r="C31" s="43" t="str">
        <x:v>Recovery Test</x:v>
      </x:c>
      <x:c r="D31" s="43" t="str">
        <x:v>Restore local path and verify automatic reversion</x:v>
      </x:c>
      <x:c r="E31" s="43" t="str">
        <x:v>Switch back within target; no message loss</x:v>
      </x:c>
      <x:c r="F31" s="43" t="str">
        <x:v>Not Started</x:v>
      </x:c>
      <x:c r="G31" s="43" t="str"/>
      <x:c r="H31" s="43" t="str"/>
      <x:c r="I31" s="43" t="str"/>
      <x:c r="J31" s="43" t="str"/>
      <x:c r="K31" s="43" t="str"/>
      <x:c r="L31" s="43" t="str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 t="str">
        <x:v>6.5</x:v>
      </x:c>
      <x:c r="B32" s="39" t="str">
        <x:v>6 Testing</x:v>
      </x:c>
      <x:c r="C32" s="39" t="str">
        <x:v>24-hour Test</x:v>
      </x:c>
      <x:c r="D32" s="39" t="str">
        <x:v>Run sustained emergency operation</x:v>
      </x:c>
      <x:c r="E32" s="39" t="str">
        <x:v>Uptime &gt;=80%, no unrecoverable crash</x:v>
      </x:c>
      <x:c r="F32" s="39" t="str">
        <x:v>Not Started</x:v>
      </x:c>
      <x:c r="G32" s="39" t="str"/>
      <x:c r="H32" s="39" t="str"/>
      <x:c r="I32" s="39" t="str"/>
      <x:c r="J32" s="39" t="str"/>
      <x:c r="K32" s="39" t="str"/>
      <x:c r="L32" s="39" t="str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</x:mergeCells>
  <x:dataValidations count="1">
    <x:dataValidation type="list" sqref="F3:F200">
      <x:formula1>"Not Started,In Progress,Done,Blocked,Skipped"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38" hidden="0" customWidth="1"/>
    <x:col min="5" max="5" width="18" hidden="0" customWidth="1"/>
    <x:col min="6" max="6" width="12" hidden="0" customWidth="1"/>
    <x:col min="7" max="7" width="32" hidden="0" customWidth="1"/>
    <x:col min="8" max="8" width="34" hidden="0" customWidth="1"/>
    <x:col min="9" max="9" width="14" hidden="0" customWidth="1"/>
    <x:col min="10" max="10" width="42" hidden="0" customWidth="1"/>
  </x:cols>
  <x:sheetData>
    <x:row r="1">
      <x:c r="A1" s="38" t="str">
        <x:v>Hardware Bill of Materials and Notes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Item</x:v>
      </x:c>
      <x:c r="B3" s="42" t="str">
        <x:v>Qty</x:v>
      </x:c>
      <x:c r="C3" s="42" t="str">
        <x:v>Use</x:v>
      </x:c>
      <x:c r="D3" s="42" t="str">
        <x:v>Recommended Spec</x:v>
      </x:c>
      <x:c r="E3" s="42" t="str">
        <x:v>Already Available?</x:v>
      </x:c>
      <x:c r="F3" s="42" t="str">
        <x:v>Priority</x:v>
      </x:c>
      <x:c r="G3" s="42" t="str">
        <x:v>Risk</x:v>
      </x:c>
      <x:c r="H3" s="42" t="str">
        <x:v>Validation Test</x:v>
      </x:c>
      <x:c r="I3" s="42" t="str">
        <x:v>Status</x:v>
      </x:c>
      <x:c r="J3" s="42" t="str">
        <x:v>Notes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ESP32 Dev Board</x:v>
      </x:c>
      <x:c r="B4" s="43" t="str">
        <x:v>6+</x:v>
      </x:c>
      <x:c r="C4" s="43" t="str">
        <x:v>MANET nodes</x:v>
      </x:c>
      <x:c r="D4" s="43" t="str">
        <x:v>ESP32 WROOM-32 acceptable; ESP32-S3 optional</x:v>
      </x:c>
      <x:c r="E4" s="43" t="str">
        <x:v>Yes/confirm</x:v>
      </x:c>
      <x:c r="F4" s="43" t="str">
        <x:v>High</x:v>
      </x:c>
      <x:c r="G4" s="43" t="str">
        <x:v>Pin/library differences</x:v>
      </x:c>
      <x:c r="H4" s="43" t="str">
        <x:v>Blink + serial + LoRa init</x:v>
      </x:c>
      <x:c r="I4" s="43" t="str">
        <x:v>Planned</x:v>
      </x:c>
      <x:c r="J4" s="43" t="str">
        <x:v>Use same board type if possible.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SX1278 Ra-02 433 MHz</x:v>
      </x:c>
      <x:c r="B5" s="43" t="str">
        <x:v>8</x:v>
      </x:c>
      <x:c r="C5" s="43" t="str">
        <x:v>6 nodes + 2 gateways</x:v>
      </x:c>
      <x:c r="D5" s="43" t="str">
        <x:v>433 MHz module with correct antenna</x:v>
      </x:c>
      <x:c r="E5" s="43" t="str">
        <x:v>Yes/confirm</x:v>
      </x:c>
      <x:c r="F5" s="43" t="str">
        <x:v>High</x:v>
      </x:c>
      <x:c r="G5" s="43" t="str">
        <x:v>Regulatory/power limits; bad antenna</x:v>
      </x:c>
      <x:c r="H5" s="43" t="str">
        <x:v>LoRa send/receive at short range</x:v>
      </x:c>
      <x:c r="I5" s="43" t="str">
        <x:v>Planned</x:v>
      </x:c>
      <x:c r="J5" s="43" t="str">
        <x:v>Use low power for prototype.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Raspberry Pi 3B</x:v>
      </x:c>
      <x:c r="B6" s="43" t="str">
        <x:v>2</x:v>
      </x:c>
      <x:c r="C6" s="43" t="str">
        <x:v>Gateways</x:v>
      </x:c>
      <x:c r="D6" s="43" t="str">
        <x:v>Pi 3B with stable 5V supply</x:v>
      </x:c>
      <x:c r="E6" s="43" t="str">
        <x:v>Confirm</x:v>
      </x:c>
      <x:c r="F6" s="43" t="str">
        <x:v>High</x:v>
      </x:c>
      <x:c r="G6" s="43" t="str">
        <x:v>SPI wiring, CPU limits</x:v>
      </x:c>
      <x:c r="H6" s="43" t="str">
        <x:v>Python LoRa gateway receives packets</x:v>
      </x:c>
      <x:c r="I6" s="43" t="str">
        <x:v>Planned</x:v>
      </x:c>
      <x:c r="J6" s="43" t="str">
        <x:v>Use Lite OS if possible.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WiFi Router 2.4 GHz</x:v>
      </x:c>
      <x:c r="B7" s="43" t="str">
        <x:v>2</x:v>
      </x:c>
      <x:c r="C7" s="43" t="str">
        <x:v>Satellite simulation</x:v>
      </x:c>
      <x:c r="D7" s="43" t="str">
        <x:v>Router that supports wireless bridge/repeater/client mode preferred</x:v>
      </x:c>
      <x:c r="E7" s="43" t="str">
        <x:v>Yes</x:v>
      </x:c>
      <x:c r="F7" s="43" t="str">
        <x:v>High</x:v>
      </x:c>
      <x:c r="G7" s="43" t="str">
        <x:v>May not bridge wirelessly</x:v>
      </x:c>
      <x:c r="H7" s="43" t="str">
        <x:v>Gateway ping test</x:v>
      </x:c>
      <x:c r="I7" s="43" t="str">
        <x:v>Planned</x:v>
      </x:c>
      <x:c r="J7" s="43" t="str">
        <x:v>If unsupported, use OpenWrt/travel router.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Android Phone</x:v>
      </x:c>
      <x:c r="B8" s="43" t="str">
        <x:v>1+</x:v>
      </x:c>
      <x:c r="C8" s="43" t="str">
        <x:v>Chat app testing</x:v>
      </x:c>
      <x:c r="D8" s="43" t="str">
        <x:v>Android 8+ recommended</x:v>
      </x:c>
      <x:c r="E8" s="43" t="str">
        <x:v>Confirm</x:v>
      </x:c>
      <x:c r="F8" s="43" t="str">
        <x:v>Medium</x:v>
      </x:c>
      <x:c r="G8" s="43" t="str">
        <x:v>Network permissions/background limits</x:v>
      </x:c>
      <x:c r="H8" s="43" t="str">
        <x:v>Install APK, connect to gateway</x:v>
      </x:c>
      <x:c r="I8" s="43" t="str">
        <x:v>Future</x:v>
      </x:c>
      <x:c r="J8" s="43" t="str">
        <x:v>Start web dashboard first.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Li-ion Battery Pack</x:v>
      </x:c>
      <x:c r="B9" s="43" t="str">
        <x:v>6</x:v>
      </x:c>
      <x:c r="C9" s="43" t="str">
        <x:v>Portable nodes</x:v>
      </x:c>
      <x:c r="D9" s="43" t="str">
        <x:v>3.7V/5V boost or regulated 5V</x:v>
      </x:c>
      <x:c r="E9" s="43" t="str">
        <x:v>Confirm</x:v>
      </x:c>
      <x:c r="F9" s="43" t="str">
        <x:v>Medium</x:v>
      </x:c>
      <x:c r="G9" s="43" t="str">
        <x:v>Voltage sag</x:v>
      </x:c>
      <x:c r="H9" s="43" t="str">
        <x:v>Runtime and battery reading test</x:v>
      </x:c>
      <x:c r="I9" s="43" t="str">
        <x:v>Future</x:v>
      </x:c>
      <x:c r="J9" s="43" t="str">
        <x:v>Simulation first.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34" hidden="0" customWidth="1"/>
    <x:col min="5" max="5" width="14" hidden="0" customWidth="1"/>
    <x:col min="6" max="6" width="24" hidden="0" customWidth="1"/>
    <x:col min="7" max="7" width="14" hidden="0" customWidth="1"/>
    <x:col min="8" max="8" width="42" hidden="0" customWidth="1"/>
  </x:cols>
  <x:sheetData>
    <x:row r="1">
      <x:c r="A1" s="38" t="str">
        <x:v>Configuration Tracker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Parameter</x:v>
      </x:c>
      <x:c r="B3" s="42" t="str">
        <x:v>Default / Starting Value</x:v>
      </x:c>
      <x:c r="C3" s="42" t="str">
        <x:v>Where Used</x:v>
      </x:c>
      <x:c r="D3" s="42" t="str">
        <x:v>Reason</x:v>
      </x:c>
      <x:c r="E3" s="42" t="str">
        <x:v>Can Change?</x:v>
      </x:c>
      <x:c r="F3" s="42" t="str">
        <x:v>Updated Value</x:v>
      </x:c>
      <x:c r="G3" s="42" t="str">
        <x:v>Date Updated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LoRa Frequency</x:v>
      </x:c>
      <x:c r="B4" s="43" t="str">
        <x:v>433 MHz / PH_433-compatible prototype setting</x:v>
      </x:c>
      <x:c r="C4" s="43" t="str">
        <x:v>ESP32 + Pi LoRa</x:v>
      </x:c>
      <x:c r="D4" s="43" t="str">
        <x:v>Available SX1278 Ra-02 hardware</x:v>
      </x:c>
      <x:c r="E4" s="43" t="str">
        <x:v>Yes</x:v>
      </x:c>
      <x:c r="F4" s="43" t="str"/>
      <x:c r="G4" s="43" t="str"/>
      <x:c r="H4" s="43" t="str">
        <x:v>Verify compliance for non-lab use.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LoRa TX Power</x:v>
      </x:c>
      <x:c r="B5" s="43" t="str">
        <x:v>Start low; do not maximize during lab tests</x:v>
      </x:c>
      <x:c r="C5" s="43" t="str">
        <x:v>ESP32 + Pi LoRa</x:v>
      </x:c>
      <x:c r="D5" s="43" t="str">
        <x:v>Reduce interference and stay conservative</x:v>
      </x:c>
      <x:c r="E5" s="43" t="str">
        <x:v>Yes</x:v>
      </x:c>
      <x:c r="F5" s="43" t="str"/>
      <x:c r="G5" s="43" t="str"/>
      <x:c r="H5" s="43" t="str">
        <x:v>Document exact dBm after firmware phase.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RSSI Degradation Threshold</x:v>
      </x:c>
      <x:c r="B6" s="43" t="str">
        <x:v>-78 dBm</x:v>
      </x:c>
      <x:c r="C6" s="43" t="str">
        <x:v>Routing/failover</x:v>
      </x:c>
      <x:c r="D6" s="43" t="str">
        <x:v>From project document; conservative quality threshold</x:v>
      </x:c>
      <x:c r="E6" s="43" t="str">
        <x:v>Yes</x:v>
      </x:c>
      <x:c r="F6" s="43" t="str"/>
      <x:c r="G6" s="43" t="str"/>
      <x:c r="H6" s="43" t="str">
        <x:v>Not hard LoRa failure threshold.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RSSI Critical Threshold</x:v>
      </x:c>
      <x:c r="B7" s="43" t="str">
        <x:v>-95 dBm</x:v>
      </x:c>
      <x:c r="C7" s="43" t="str">
        <x:v>Routing/failover</x:v>
      </x:c>
      <x:c r="D7" s="43" t="str">
        <x:v>More realistic LoRa degradation marker</x:v>
      </x:c>
      <x:c r="E7" s="43" t="str">
        <x:v>Yes</x:v>
      </x:c>
      <x:c r="F7" s="43" t="str"/>
      <x:c r="G7" s="43" t="str"/>
      <x:c r="H7" s="43" t="str">
        <x:v>Tune after field tests.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Failover Delay</x:v>
      </x:c>
      <x:c r="B8" s="43" t="str">
        <x:v>10 seconds</x:v>
      </x:c>
      <x:c r="C8" s="43" t="str">
        <x:v>Gateway logic</x:v>
      </x:c>
      <x:c r="D8" s="43" t="str">
        <x:v>From project document</x:v>
      </x:c>
      <x:c r="E8" s="43" t="str">
        <x:v>Yes</x:v>
      </x:c>
      <x:c r="F8" s="43" t="str"/>
      <x:c r="G8" s="43" t="str"/>
      <x:c r="H8" s="43" t="str">
        <x:v>Trigger after stable failure condition.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Recovery Stable Time</x:v>
      </x:c>
      <x:c r="B9" s="43" t="str">
        <x:v>10 seconds</x:v>
      </x:c>
      <x:c r="C9" s="43" t="str">
        <x:v>Gateway logic</x:v>
      </x:c>
      <x:c r="D9" s="43" t="str">
        <x:v>Avoid flapping</x:v>
      </x:c>
      <x:c r="E9" s="43" t="str">
        <x:v>Yes</x:v>
      </x:c>
      <x:c r="F9" s="43" t="str"/>
      <x:c r="G9" s="43" t="str"/>
      <x:c r="H9" s="43" t="str">
        <x:v>Revert only after stable link.</x:v>
      </x:c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Satellite Sim Latency</x:v>
      </x:c>
      <x:c r="B10" s="43" t="str">
        <x:v>500-700 ms</x:v>
      </x:c>
      <x:c r="C10" s="43" t="str">
        <x:v>Pi tc/netem</x:v>
      </x:c>
      <x:c r="D10" s="43" t="str">
        <x:v>Project target</x:v>
      </x:c>
      <x:c r="E10" s="43" t="str">
        <x:v>Yes</x:v>
      </x:c>
      <x:c r="F10" s="43" t="str"/>
      <x:c r="G10" s="43" t="str"/>
      <x:c r="H10" s="43" t="str">
        <x:v>Apply on gateway interface.</x:v>
      </x:c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Max Hop Count</x:v>
      </x:c>
      <x:c r="B11" s="43" t="str">
        <x:v>3</x:v>
      </x:c>
      <x:c r="C11" s="43" t="str">
        <x:v>ESP32 mesh</x:v>
      </x:c>
      <x:c r="D11" s="43" t="str">
        <x:v>Small six-node prototype</x:v>
      </x:c>
      <x:c r="E11" s="43" t="str">
        <x:v>Yes</x:v>
      </x:c>
      <x:c r="F11" s="43" t="str"/>
      <x:c r="G11" s="43" t="str"/>
      <x:c r="H11" s="43" t="str">
        <x:v>Increase only after testing.</x:v>
      </x:c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ACK Retry Count</x:v>
      </x:c>
      <x:c r="B12" s="43" t="str">
        <x:v>3</x:v>
      </x:c>
      <x:c r="C12" s="43" t="str">
        <x:v>Messaging protocol</x:v>
      </x:c>
      <x:c r="D12" s="43" t="str">
        <x:v>Reliability vs airtime balance</x:v>
      </x:c>
      <x:c r="E12" s="43" t="str">
        <x:v>Yes</x:v>
      </x:c>
      <x:c r="F12" s="43" t="str"/>
      <x:c r="G12" s="43" t="str"/>
      <x:c r="H12" s="43" t="str">
        <x:v>Tune after PDR tests.</x:v>
      </x:c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Destination Not Local Rule</x:v>
      </x:c>
      <x:c r="B13" s="43" t="str">
        <x:v>Route to next network via gateway</x:v>
      </x:c>
      <x:c r="C13" s="43" t="str">
        <x:v>Gateway logic</x:v>
      </x:c>
      <x:c r="D13" s="43" t="str">
        <x:v>User requirement</x:v>
      </x:c>
      <x:c r="E13" s="43" t="str">
        <x:v>No</x:v>
      </x:c>
      <x:c r="F13" s="43" t="str"/>
      <x:c r="G13" s="43" t="str"/>
      <x:c r="H13" s="43" t="str">
        <x:v>If destination unknown locally, forward to remote gateway.</x:v>
      </x:c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32" hidden="0" customWidth="1"/>
    <x:col min="4" max="4" width="14" hidden="0" customWidth="1"/>
    <x:col min="5" max="5" width="12" hidden="0" customWidth="1"/>
    <x:col min="6" max="6" width="35" hidden="0" customWidth="1"/>
    <x:col min="7" max="7" width="32" hidden="0" customWidth="1"/>
    <x:col min="8" max="8" width="32" hidden="0" customWidth="1"/>
  </x:cols>
  <x:sheetData>
    <x:row r="1">
      <x:c r="A1" s="38" t="str">
        <x:v>Proposed Packet Protocol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Packet Type</x:v>
      </x:c>
      <x:c r="B3" s="42" t="str">
        <x:v>Required Fields</x:v>
      </x:c>
      <x:c r="C3" s="42" t="str">
        <x:v>Purpose</x:v>
      </x:c>
      <x:c r="D3" s="42" t="str">
        <x:v>ACK Required?</x:v>
      </x:c>
      <x:c r="E3" s="42" t="str">
        <x:v>Stored?</x:v>
      </x:c>
      <x:c r="F3" s="42" t="str">
        <x:v>Example</x:v>
      </x:c>
      <x:c r="G3" s="42" t="str">
        <x:v>ESP32 Role</x:v>
      </x:c>
      <x:c r="H3" s="42" t="str">
        <x:v>Gateway Role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HELLO</x:v>
      </x:c>
      <x:c r="B4" s="43" t="str">
        <x:v>type,node_id,network_id,battery,rssi_last,snr_last,uptime</x:v>
      </x:c>
      <x:c r="C4" s="43" t="str">
        <x:v>Neighbor discovery and health</x:v>
      </x:c>
      <x:c r="D4" s="43" t="str">
        <x:v>No</x:v>
      </x:c>
      <x:c r="E4" s="43" t="str">
        <x:v>Latest only</x:v>
      </x:c>
      <x:c r="F4" s="43" t="str">
        <x:v>HELLO A1 NET_A batt=82</x:v>
      </x:c>
      <x:c r="G4" s="43" t="str">
        <x:v>Broadcast periodically</x:v>
      </x:c>
      <x:c r="H4" s="43" t="str">
        <x:v>Update node table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MSG</x:v>
      </x:c>
      <x:c r="B5" s="43" t="str">
        <x:v>type,msg_id,src,dst,network_id,payload,ttl,path,timestamp</x:v>
      </x:c>
      <x:c r="C5" s="43" t="str">
        <x:v>User text message</x:v>
      </x:c>
      <x:c r="D5" s="43" t="str">
        <x:v>Yes</x:v>
      </x:c>
      <x:c r="E5" s="43" t="str">
        <x:v>Yes</x:v>
      </x:c>
      <x:c r="F5" s="43" t="str">
        <x:v>A1 to B2: emergency text</x:v>
      </x:c>
      <x:c r="G5" s="43" t="str">
        <x:v>Forward/receive/ACK</x:v>
      </x:c>
      <x:c r="H5" s="43" t="str">
        <x:v>Route local or remote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ACK</x:v>
      </x:c>
      <x:c r="B6" s="43" t="str">
        <x:v>type,msg_id,src,dst,status,path,timestamp</x:v>
      </x:c>
      <x:c r="C6" s="43" t="str">
        <x:v>Confirm delivery or relay acceptance</x:v>
      </x:c>
      <x:c r="D6" s="43" t="str">
        <x:v>No</x:v>
      </x:c>
      <x:c r="E6" s="43" t="str">
        <x:v>Yes</x:v>
      </x:c>
      <x:c r="F6" s="43" t="str">
        <x:v>ACK for MSG123</x:v>
      </x:c>
      <x:c r="G6" s="43" t="str">
        <x:v>Return to previous hop</x:v>
      </x:c>
      <x:c r="H6" s="43" t="str">
        <x:v>Update delivery state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ROUTE_ADV</x:v>
      </x:c>
      <x:c r="B7" s="43" t="str">
        <x:v>type,gateway_id,network_id,metric,hop_count</x:v>
      </x:c>
      <x:c r="C7" s="43" t="str">
        <x:v>Gateway/route advertisement</x:v>
      </x:c>
      <x:c r="D7" s="43" t="str">
        <x:v>No</x:v>
      </x:c>
      <x:c r="E7" s="43" t="str">
        <x:v>Latest only</x:v>
      </x:c>
      <x:c r="F7" s="43" t="str">
        <x:v>GWA advertises NET_A</x:v>
      </x:c>
      <x:c r="G7" s="43" t="str">
        <x:v>Store route score</x:v>
      </x:c>
      <x:c r="H7" s="43" t="str">
        <x:v>Advertise network reachability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NACK</x:v>
      </x:c>
      <x:c r="B8" s="43" t="str">
        <x:v>type,msg_id,reason,last_hop</x:v>
      </x:c>
      <x:c r="C8" s="43" t="str">
        <x:v>Signal failure</x:v>
      </x:c>
      <x:c r="D8" s="43" t="str">
        <x:v>No</x:v>
      </x:c>
      <x:c r="E8" s="43" t="str">
        <x:v>Yes</x:v>
      </x:c>
      <x:c r="F8" s="43" t="str">
        <x:v>Destination unreachable</x:v>
      </x:c>
      <x:c r="G8" s="43" t="str">
        <x:v>Try alternate route</x:v>
      </x:c>
      <x:c r="H8" s="43" t="str">
        <x:v>Trigger gateway forwarding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4" hidden="0" customWidth="1"/>
    <x:col min="4" max="4" width="34" hidden="0" customWidth="1"/>
    <x:col min="5" max="5" width="24" hidden="0" customWidth="1"/>
    <x:col min="6" max="6" width="24" hidden="0" customWidth="1"/>
    <x:col min="7" max="7" width="14" hidden="0" customWidth="1"/>
    <x:col min="8" max="8" width="36" hidden="0" customWidth="1"/>
  </x:cols>
  <x:sheetData>
    <x:row r="1">
      <x:c r="A1" s="38" t="str">
        <x:v>Routing and Failover Logic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Rule ID</x:v>
      </x:c>
      <x:c r="B3" s="42" t="str">
        <x:v>Condition</x:v>
      </x:c>
      <x:c r="C3" s="42" t="str">
        <x:v>Action</x:v>
      </x:c>
      <x:c r="D3" s="42" t="str">
        <x:v>Reason</x:v>
      </x:c>
      <x:c r="E3" s="42" t="str">
        <x:v>Where Implemented</x:v>
      </x:c>
      <x:c r="F3" s="42" t="str">
        <x:v>Test Case</x:v>
      </x:c>
      <x:c r="G3" s="42" t="str">
        <x:v>Status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R1</x:v>
      </x:c>
      <x:c r="B4" s="43" t="str">
        <x:v>Destination node is in local neighbor/route table</x:v>
      </x:c>
      <x:c r="C4" s="43" t="str">
        <x:v>Send through best local LoRa route</x:v>
      </x:c>
      <x:c r="D4" s="43" t="str">
        <x:v>Lowest latency and preserves local MANET behavior</x:v>
      </x:c>
      <x:c r="E4" s="43" t="str">
        <x:v>ESP32 + Gateway</x:v>
      </x:c>
      <x:c r="F4" s="43" t="str">
        <x:v>A1 to A2</x:v>
      </x:c>
      <x:c r="G4" s="43" t="str">
        <x:v>Planned</x:v>
      </x:c>
      <x:c r="H4" s="43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R2</x:v>
      </x:c>
      <x:c r="B5" s="43" t="str">
        <x:v>Destination not found in current network</x:v>
      </x:c>
      <x:c r="C5" s="43" t="str">
        <x:v>Forward to local gateway, then to next network gateway over WiFi-router path</x:v>
      </x:c>
      <x:c r="D5" s="43" t="str">
        <x:v>User requirement for inter-network delivery</x:v>
      </x:c>
      <x:c r="E5" s="43" t="str">
        <x:v>Gateway</x:v>
      </x:c>
      <x:c r="F5" s="43" t="str">
        <x:v>A1 to B2</x:v>
      </x:c>
      <x:c r="G5" s="43" t="str">
        <x:v>Planned</x:v>
      </x:c>
      <x:c r="H5" s="43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R3</x:v>
      </x:c>
      <x:c r="B6" s="43" t="str">
        <x:v>RSSI below threshold for configured duration or no heartbeat</x:v>
      </x:c>
      <x:c r="C6" s="43" t="str">
        <x:v>Mark route degraded and try alternate path</x:v>
      </x:c>
      <x:c r="D6" s="43" t="str">
        <x:v>Avoid unreliable link</x:v>
      </x:c>
      <x:c r="E6" s="43" t="str">
        <x:v>ESP32 + Gateway</x:v>
      </x:c>
      <x:c r="F6" s="43" t="str">
        <x:v>Degradation test</x:v>
      </x:c>
      <x:c r="G6" s="43" t="str">
        <x:v>Planned</x:v>
      </x:c>
      <x:c r="H6" s="43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R4</x:v>
      </x:c>
      <x:c r="B7" s="43" t="str">
        <x:v>All local route attempts fail after retries</x:v>
      </x:c>
      <x:c r="C7" s="43" t="str">
        <x:v>Buffer message and forward through gateway if available</x:v>
      </x:c>
      <x:c r="D7" s="43" t="str">
        <x:v>Preserve message delivery</x:v>
      </x:c>
      <x:c r="E7" s="43" t="str">
        <x:v>ESP32 + Gateway</x:v>
      </x:c>
      <x:c r="F7" s="43" t="str">
        <x:v>Failover test</x:v>
      </x:c>
      <x:c r="G7" s="43" t="str">
        <x:v>Planned</x:v>
      </x:c>
      <x:c r="H7" s="43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R5</x:v>
      </x:c>
      <x:c r="B8" s="43" t="str">
        <x:v>Remote gateway unavailable</x:v>
      </x:c>
      <x:c r="C8" s="43" t="str">
        <x:v>Queue message and retry with exponential/backoff interval</x:v>
      </x:c>
      <x:c r="D8" s="43" t="str">
        <x:v>Delay-tolerant operation</x:v>
      </x:c>
      <x:c r="E8" s="43" t="str">
        <x:v>Gateway</x:v>
      </x:c>
      <x:c r="F8" s="43" t="str">
        <x:v>Router down test</x:v>
      </x:c>
      <x:c r="G8" s="43" t="str">
        <x:v>Planned</x:v>
      </x:c>
      <x:c r="H8" s="43" t="str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R6</x:v>
      </x:c>
      <x:c r="B9" s="43" t="str">
        <x:v>Recovered route stable for recovery time</x:v>
      </x:c>
      <x:c r="C9" s="43" t="str">
        <x:v>Revert to preferred local route and stop using backhaul for local messages</x:v>
      </x:c>
      <x:c r="D9" s="43" t="str">
        <x:v>Avoid flapping and unnecessary backhaul use</x:v>
      </x:c>
      <x:c r="E9" s="43" t="str">
        <x:v>Gateway</x:v>
      </x:c>
      <x:c r="F9" s="43" t="str">
        <x:v>Recovery test</x:v>
      </x:c>
      <x:c r="G9" s="43" t="str">
        <x:v>Planned</x:v>
      </x:c>
      <x:c r="H9" s="43" t="str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12" hidden="0" customWidth="1"/>
    <x:col min="8" max="8" width="14" hidden="0" customWidth="1"/>
    <x:col min="9" max="9" width="34" hidden="0" customWidth="1"/>
  </x:cols>
  <x:sheetData>
    <x:row r="1">
      <x:c r="A1" s="38" t="str">
        <x:v>Simulation-First Development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Simulation Item</x:v>
      </x:c>
      <x:c r="B3" s="42" t="str">
        <x:v>Description</x:v>
      </x:c>
      <x:c r="C3" s="42" t="str">
        <x:v>Output File/Module</x:v>
      </x:c>
      <x:c r="D3" s="42" t="str">
        <x:v>Inputs</x:v>
      </x:c>
      <x:c r="E3" s="42" t="str">
        <x:v>Expected Output</x:v>
      </x:c>
      <x:c r="F3" s="42" t="str">
        <x:v>Pass Criteria</x:v>
      </x:c>
      <x:c r="G3" s="42" t="str">
        <x:v>Priority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Node simulator</x:v>
      </x:c>
      <x:c r="B4" s="43" t="str">
        <x:v>Emulates ESP32 node behavior: HELLO, MSG, ACK, retry, battery</x:v>
      </x:c>
      <x:c r="C4" s="43" t="str">
        <x:v>sim_node.py</x:v>
      </x:c>
      <x:c r="D4" s="43" t="str">
        <x:v>Node ID, network ID, links</x:v>
      </x:c>
      <x:c r="E4" s="43" t="str">
        <x:v>Console/log packets</x:v>
      </x:c>
      <x:c r="F4" s="43" t="str">
        <x:v>6 nodes run simultaneously</x:v>
      </x:c>
      <x:c r="G4" s="43" t="str">
        <x:v>High</x:v>
      </x:c>
      <x:c r="H4" s="43" t="str">
        <x:v>Not Started</x:v>
      </x:c>
      <x:c r="I4" s="43" t="str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Gateway simulator</x:v>
      </x:c>
      <x:c r="B5" s="43" t="str">
        <x:v>Emulates Pi gateway and inter-network routing</x:v>
      </x:c>
      <x:c r="C5" s="43" t="str">
        <x:v>sim_gateway.py</x:v>
      </x:c>
      <x:c r="D5" s="43" t="str">
        <x:v>GWA/GWB config</x:v>
      </x:c>
      <x:c r="E5" s="43" t="str">
        <x:v>Routes unknown destinations to other network</x:v>
      </x:c>
      <x:c r="F5" s="43" t="str">
        <x:v>A1 to B2 delivery works</x:v>
      </x:c>
      <x:c r="G5" s="43" t="str">
        <x:v>High</x:v>
      </x:c>
      <x:c r="H5" s="43" t="str">
        <x:v>Not Started</x:v>
      </x:c>
      <x:c r="I5" s="43" t="str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Network fault simulator</x:v>
      </x:c>
      <x:c r="B6" s="43" t="str">
        <x:v>Drops packets, lowers RSSI, adds delay</x:v>
      </x:c>
      <x:c r="C6" s="43" t="str">
        <x:v>sim_faults.py</x:v>
      </x:c>
      <x:c r="D6" s="43" t="str">
        <x:v>Fault profile</x:v>
      </x:c>
      <x:c r="E6" s="43" t="str">
        <x:v>Failover/recovery events</x:v>
      </x:c>
      <x:c r="F6" s="43" t="str">
        <x:v>Failover at 10s</x:v>
      </x:c>
      <x:c r="G6" s="43" t="str">
        <x:v>High</x:v>
      </x:c>
      <x:c r="H6" s="43" t="str">
        <x:v>Not Started</x:v>
      </x:c>
      <x:c r="I6" s="43" t="str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Message store</x:v>
      </x:c>
      <x:c r="B7" s="43" t="str">
        <x:v>SQLite or JSONL logs for messages and events</x:v>
      </x:c>
      <x:c r="C7" s="43" t="str">
        <x:v>messages.db/logs</x:v>
      </x:c>
      <x:c r="D7" s="43" t="str">
        <x:v>Packets/events</x:v>
      </x:c>
      <x:c r="E7" s="43" t="str">
        <x:v>Traceable delivery status</x:v>
      </x:c>
      <x:c r="F7" s="43" t="str">
        <x:v>No duplicate delivered messages</x:v>
      </x:c>
      <x:c r="G7" s="43" t="str">
        <x:v>High</x:v>
      </x:c>
      <x:c r="H7" s="43" t="str">
        <x:v>Not Started</x:v>
      </x:c>
      <x:c r="I7" s="43" t="str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Dashboard mock</x:v>
      </x:c>
      <x:c r="B8" s="43" t="str">
        <x:v>Optional local web view for simulation</x:v>
      </x:c>
      <x:c r="C8" s="43" t="str">
        <x:v>Flask app</x:v>
      </x:c>
      <x:c r="D8" s="43" t="str">
        <x:v>Sim state</x:v>
      </x:c>
      <x:c r="E8" s="43" t="str">
        <x:v>Node and route display</x:v>
      </x:c>
      <x:c r="F8" s="43" t="str">
        <x:v>Usable before hardware</x:v>
      </x:c>
      <x:c r="G8" s="43" t="str">
        <x:v>Medium</x:v>
      </x:c>
      <x:c r="H8" s="43" t="str">
        <x:v>Not Started</x:v>
      </x:c>
      <x:c r="I8" s="43" t="str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24" hidden="0" customWidth="1"/>
    <x:col min="5" max="5" width="28" hidden="0" customWidth="1"/>
    <x:col min="6" max="6" width="34" hidden="0" customWidth="1"/>
    <x:col min="7" max="7" width="14" hidden="0" customWidth="1"/>
    <x:col min="8" max="8" width="42" hidden="0" customWidth="1"/>
  </x:cols>
  <x:sheetData>
    <x:row r="1">
      <x:c r="A1" s="38" t="str">
        <x:v>Android Messaging / Chat System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Module</x:v>
      </x:c>
      <x:c r="B3" s="42" t="str">
        <x:v>Function</x:v>
      </x:c>
      <x:c r="C3" s="42" t="str">
        <x:v>Initial Recommendation</x:v>
      </x:c>
      <x:c r="D3" s="42" t="str">
        <x:v>Depends On</x:v>
      </x:c>
      <x:c r="E3" s="42" t="str">
        <x:v>Transport Awareness</x:v>
      </x:c>
      <x:c r="F3" s="42" t="str">
        <x:v>Validation</x:v>
      </x:c>
      <x:c r="G3" s="42" t="str">
        <x:v>Status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Login/Device Setup</x:v>
      </x:c>
      <x:c r="B4" s="43" t="str">
        <x:v>Connect phone to selected gateway</x:v>
      </x:c>
      <x:c r="C4" s="43" t="str">
        <x:v>Use local gateway IP entry first; QR/manual config later</x:v>
      </x:c>
      <x:c r="D4" s="43" t="str">
        <x:v>Gateway API</x:v>
      </x:c>
      <x:c r="E4" s="43" t="str">
        <x:v>Shows connected gateway/network</x:v>
      </x:c>
      <x:c r="F4" s="43" t="str">
        <x:v>Can connect to Pi dashboard API</x:v>
      </x:c>
      <x:c r="G4" s="43" t="str">
        <x:v>Future</x:v>
      </x:c>
      <x:c r="H4" s="43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Chat Screen</x:v>
      </x:c>
      <x:c r="B5" s="43" t="str">
        <x:v>Send/receive text messages</x:v>
      </x:c>
      <x:c r="C5" s="43" t="str">
        <x:v>Simple conversation list and message composer</x:v>
      </x:c>
      <x:c r="D5" s="43" t="str">
        <x:v>Message API</x:v>
      </x:c>
      <x:c r="E5" s="43" t="str">
        <x:v>Shows Pending/Sent/Delivered/Failed</x:v>
      </x:c>
      <x:c r="F5" s="43" t="str">
        <x:v>A1 phone sends to B2</x:v>
      </x:c>
      <x:c r="G5" s="43" t="str">
        <x:v>Future</x:v>
      </x:c>
      <x:c r="H5" s="43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Transport Status</x:v>
      </x:c>
      <x:c r="B6" s="43" t="str">
        <x:v>Display LoRa/WiFi/GSM path used</x:v>
      </x:c>
      <x:c r="C6" s="43" t="str">
        <x:v>Read route status from gateway, not phone decision first</x:v>
      </x:c>
      <x:c r="D6" s="43" t="str">
        <x:v>Gateway routing logic</x:v>
      </x:c>
      <x:c r="E6" s="43" t="str">
        <x:v>LoRa/WiFi/GSM labels</x:v>
      </x:c>
      <x:c r="F6" s="43" t="str">
        <x:v>Correct route appears per message</x:v>
      </x:c>
      <x:c r="G6" s="43" t="str">
        <x:v>Future</x:v>
      </x:c>
      <x:c r="H6" s="43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Offline Queue</x:v>
      </x:c>
      <x:c r="B7" s="43" t="str">
        <x:v>Store messages until route available</x:v>
      </x:c>
      <x:c r="C7" s="43" t="str">
        <x:v>Local Room database later</x:v>
      </x:c>
      <x:c r="D7" s="43" t="str">
        <x:v>Stable API</x:v>
      </x:c>
      <x:c r="E7" s="43" t="str">
        <x:v>Pending queue state</x:v>
      </x:c>
      <x:c r="F7" s="43" t="str">
        <x:v>No lost unsent message</x:v>
      </x:c>
      <x:c r="G7" s="43" t="str">
        <x:v>Future</x:v>
      </x:c>
      <x:c r="H7" s="43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GSM Option</x:v>
      </x:c>
      <x:c r="B8" s="43" t="str">
        <x:v>SMS fallback</x:v>
      </x:c>
      <x:c r="C8" s="43" t="str">
        <x:v>Add after LoRa+WiFi works</x:v>
      </x:c>
      <x:c r="D8" s="43" t="str">
        <x:v>SIM/GSM design</x:v>
      </x:c>
      <x:c r="E8" s="43" t="str">
        <x:v>GSM shown as fallback</x:v>
      </x:c>
      <x:c r="F8" s="43" t="str">
        <x:v>SMS send/receive tested</x:v>
      </x:c>
      <x:c r="G8" s="43" t="str">
        <x:v>Future</x:v>
      </x:c>
      <x:c r="H8" s="43" t="str">
        <x:v>May require phone SMS permissions or separate GSM modem.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2" hidden="0" customWidth="1"/>
    <x:col min="5" max="5" width="32" hidden="0" customWidth="1"/>
    <x:col min="6" max="6" width="38" hidden="0" customWidth="1"/>
    <x:col min="7" max="7" width="30" hidden="0" customWidth="1"/>
    <x:col min="8" max="8" width="14" hidden="0" customWidth="1"/>
    <x:col min="9" max="9" width="24" hidden="0" customWidth="1"/>
    <x:col min="10" max="10" width="38" hidden="0" customWidth="1"/>
  </x:cols>
  <x:sheetData>
    <x:row r="1">
      <x:c r="A1" s="38" t="str">
        <x:v>Validation Test Campaign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Test ID</x:v>
      </x:c>
      <x:c r="B3" s="42" t="str">
        <x:v>Test Name</x:v>
      </x:c>
      <x:c r="C3" s="42" t="str">
        <x:v>Setup</x:v>
      </x:c>
      <x:c r="D3" s="42" t="str">
        <x:v>Procedure</x:v>
      </x:c>
      <x:c r="E3" s="42" t="str">
        <x:v>Measured Parameters</x:v>
      </x:c>
      <x:c r="F3" s="42" t="str">
        <x:v>Acceptance Criteria</x:v>
      </x:c>
      <x:c r="G3" s="42" t="str">
        <x:v>Actual Result</x:v>
      </x:c>
      <x:c r="H3" s="42" t="str">
        <x:v>Status</x:v>
      </x:c>
      <x:c r="I3" s="42" t="str">
        <x:v>Evidence</x:v>
      </x:c>
      <x:c r="J3" s="42" t="str">
        <x:v>Notes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T1</x:v>
      </x:c>
      <x:c r="B4" s="43" t="str">
        <x:v>Baseline Operation</x:v>
      </x:c>
      <x:c r="C4" s="43" t="str">
        <x:v>6 nodes, 2 gateways, stable LoRa links</x:v>
      </x:c>
      <x:c r="D4" s="43" t="str">
        <x:v>Power on, auto-discover, send periodic messages</x:v>
      </x:c>
      <x:c r="E4" s="43" t="str">
        <x:v>RSSI,SNR,hop,PDR,latency</x:v>
      </x:c>
      <x:c r="F4" s="43" t="str">
        <x:v>PDR &gt;=95%; MANET forms within 30s</x:v>
      </x:c>
      <x:c r="G4" s="43" t="str">
        <x:v>Pending</x:v>
      </x:c>
      <x:c r="H4" s="43" t="str">
        <x:v>Not Started</x:v>
      </x:c>
      <x:c r="I4" s="43" t="str"/>
      <x:c r="J4" s="43" t="str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T2</x:v>
      </x:c>
      <x:c r="B5" s="43" t="str">
        <x:v>Network Degradation</x:v>
      </x:c>
      <x:c r="C5" s="43" t="str">
        <x:v>Increase distance or simulate RSSI drop</x:v>
      </x:c>
      <x:c r="D5" s="43" t="str">
        <x:v>Degrade until threshold duration reached</x:v>
      </x:c>
      <x:c r="E5" s="43" t="str">
        <x:v>RSSI trend,detection time,route changes</x:v>
      </x:c>
      <x:c r="F5" s="43" t="str">
        <x:v>Degradation detected after 10s</x:v>
      </x:c>
      <x:c r="G5" s="43" t="str">
        <x:v>Pending</x:v>
      </x:c>
      <x:c r="H5" s="43" t="str">
        <x:v>Not Started</x:v>
      </x:c>
      <x:c r="I5" s="43" t="str"/>
      <x:c r="J5" s="43" t="str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T3</x:v>
      </x:c>
      <x:c r="B6" s="43" t="str">
        <x:v>Failover Activation</x:v>
      </x:c>
      <x:c r="C6" s="43" t="str">
        <x:v>MANET active, router path ready</x:v>
      </x:c>
      <x:c r="D6" s="43" t="str">
        <x:v>Disable/degrade local route</x:v>
      </x:c>
      <x:c r="E6" s="43" t="str">
        <x:v>Trigger time, gateway status, delivery state</x:v>
      </x:c>
      <x:c r="F6" s="43" t="str">
        <x:v>Failover activates and messages continue</x:v>
      </x:c>
      <x:c r="G6" s="43" t="str">
        <x:v>Pending</x:v>
      </x:c>
      <x:c r="H6" s="43" t="str">
        <x:v>Not Started</x:v>
      </x:c>
      <x:c r="I6" s="43" t="str"/>
      <x:c r="J6" s="43" t="str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T4</x:v>
      </x:c>
      <x:c r="B7" s="43" t="str">
        <x:v>Sustained Emergency Operation</x:v>
      </x:c>
      <x:c r="C7" s="43" t="str">
        <x:v>Battery nodes + gateways</x:v>
      </x:c>
      <x:c r="D7" s="43" t="str">
        <x:v>Run 24 hours with fault events</x:v>
      </x:c>
      <x:c r="E7" s="43" t="str">
        <x:v>Uptime,battery,routing stability</x:v>
      </x:c>
      <x:c r="F7" s="43" t="str">
        <x:v>Uptime &gt;=80%; no unrecoverable crash</x:v>
      </x:c>
      <x:c r="G7" s="43" t="str">
        <x:v>Pending</x:v>
      </x:c>
      <x:c r="H7" s="43" t="str">
        <x:v>Not Started</x:v>
      </x:c>
      <x:c r="I7" s="43" t="str"/>
      <x:c r="J7" s="43" t="str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T5</x:v>
      </x:c>
      <x:c r="B8" s="43" t="str">
        <x:v>Recovery/Reversion</x:v>
      </x:c>
      <x:c r="C8" s="43" t="str">
        <x:v>Start in backhaul mode</x:v>
      </x:c>
      <x:c r="D8" s="43" t="str">
        <x:v>Restore local route above threshold</x:v>
      </x:c>
      <x:c r="E8" s="43" t="str">
        <x:v>Recovery time, packet loss</x:v>
      </x:c>
      <x:c r="F8" s="43" t="str">
        <x:v>Revert within target and no message loss</x:v>
      </x:c>
      <x:c r="G8" s="43" t="str">
        <x:v>Pending</x:v>
      </x:c>
      <x:c r="H8" s="43" t="str">
        <x:v>Not Started</x:v>
      </x:c>
      <x:c r="I8" s="43" t="str"/>
      <x:c r="J8" s="43" t="str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T6</x:v>
      </x:c>
      <x:c r="B9" s="43" t="str">
        <x:v>Inter-network Delivery</x:v>
      </x:c>
      <x:c r="C9" s="43" t="str">
        <x:v>Network A and B active</x:v>
      </x:c>
      <x:c r="D9" s="43" t="str">
        <x:v>Send A1 to B2 when B2 not local</x:v>
      </x:c>
      <x:c r="E9" s="43" t="str">
        <x:v>Route path, ACK, latency</x:v>
      </x:c>
      <x:c r="F9" s="43" t="str">
        <x:v>Message forwarded to next network</x:v>
      </x:c>
      <x:c r="G9" s="43" t="str">
        <x:v>Pending</x:v>
      </x:c>
      <x:c r="H9" s="43" t="str">
        <x:v>Not Started</x:v>
      </x:c>
      <x:c r="I9" s="43" t="str"/>
      <x:c r="J9" s="43" t="str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dataValidations count="1">
    <x:dataValidation type="list" sqref="H4:H100">
      <x:formula1>"Not Started,In Progress,Pass,Fail,Blocked"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5" hidden="0" customWidth="1"/>
    <x:col min="4" max="4" width="36" hidden="0" customWidth="1"/>
    <x:col min="5" max="5" width="28" hidden="0" customWidth="1"/>
    <x:col min="6" max="6" width="18" hidden="0" customWidth="1"/>
    <x:col min="7" max="7" width="24" hidden="0" customWidth="1"/>
    <x:col min="8" max="8" width="40" hidden="0" customWidth="1"/>
  </x:cols>
  <x:sheetData>
    <x:row r="1">
      <x:c r="A1" s="38" t="str">
        <x:v>Progress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Date</x:v>
      </x:c>
      <x:c r="B3" s="42" t="str">
        <x:v>Step ID</x:v>
      </x:c>
      <x:c r="C3" s="42" t="str">
        <x:v>What Was Done</x:v>
      </x:c>
      <x:c r="D3" s="42" t="str">
        <x:v>Result</x:v>
      </x:c>
      <x:c r="E3" s="42" t="str">
        <x:v>Evidence</x:v>
      </x:c>
      <x:c r="F3" s="42" t="str">
        <x:v>Updated By</x:v>
      </x:c>
      <x:c r="G3" s="42" t="str">
        <x:v>Next Step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/>
      <x:c r="B4" s="43"/>
      <x:c r="C4" s="43"/>
      <x:c r="D4" s="43"/>
      <x:c r="E4" s="43"/>
      <x:c r="F4" s="43"/>
      <x:c r="G4" s="43"/>
      <x:c r="H4" s="43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/>
      <x:c r="B5" s="43"/>
      <x:c r="C5" s="43"/>
      <x:c r="D5" s="43"/>
      <x:c r="E5" s="43"/>
      <x:c r="F5" s="43"/>
      <x:c r="G5" s="43"/>
      <x:c r="H5" s="43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36" hidden="0" customWidth="1"/>
    <x:col min="5" max="5" width="42" hidden="0" customWidth="1"/>
    <x:col min="6" max="6" width="36" hidden="0" customWidth="1"/>
    <x:col min="7" max="7" width="42" hidden="0" customWidth="1"/>
    <x:col min="8" max="8" width="14" hidden="0" customWidth="1"/>
    <x:col min="9" max="9" width="36" hidden="0" customWidth="1"/>
  </x:cols>
  <x:sheetData>
    <x:row r="1">
      <x:c r="A1" s="38" t="str">
        <x:v>Issue / Troubleshooting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Issue ID</x:v>
      </x:c>
      <x:c r="B3" s="42" t="str">
        <x:v>Date</x:v>
      </x:c>
      <x:c r="C3" s="42" t="str">
        <x:v>Step ID</x:v>
      </x:c>
      <x:c r="D3" s="42" t="str">
        <x:v>Problem</x:v>
      </x:c>
      <x:c r="E3" s="42" t="str">
        <x:v>Error / Symptom</x:v>
      </x:c>
      <x:c r="F3" s="42" t="str">
        <x:v>Root Cause</x:v>
      </x:c>
      <x:c r="G3" s="42" t="str">
        <x:v>Fix Applied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dataValidations count="1">
    <x:dataValidation type="list" sqref="H4:H100">
      <x:formula1>"Open,In Progress,Resolved,Deferred"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42" hidden="0" customWidth="1"/>
    <x:col min="5" max="5" width="34" hidden="0" customWidth="1"/>
    <x:col min="6" max="6" width="36" hidden="0" customWidth="1"/>
    <x:col min="7" max="7" width="16" hidden="0" customWidth="1"/>
    <x:col min="8" max="8" width="36" hidden="0" customWidth="1"/>
  </x:cols>
  <x:sheetData>
    <x:row r="1">
      <x:c r="A1" s="38" t="str">
        <x:v>Design Decision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Decision ID</x:v>
      </x:c>
      <x:c r="B3" s="42" t="str">
        <x:v>Date</x:v>
      </x:c>
      <x:c r="C3" s="42" t="str">
        <x:v>Decision</x:v>
      </x:c>
      <x:c r="D3" s="42" t="str">
        <x:v>Reason</x:v>
      </x:c>
      <x:c r="E3" s="42" t="str">
        <x:v>Alternatives Considered</x:v>
      </x:c>
      <x:c r="F3" s="42" t="str">
        <x:v>Impact</x:v>
      </x:c>
      <x:c r="G3" s="42" t="str">
        <x:v>Status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D1</x:v>
      </x:c>
      <x:c r="B4" s="50" t="n">
        <x:v>46146</x:v>
      </x:c>
      <x:c r="C4" s="43" t="str">
        <x:v>Use simulation-first workflow</x:v>
      </x:c>
      <x:c r="D4" s="43" t="str">
        <x:v>User has physical nodes but wants to start with simulation</x:v>
      </x:c>
      <x:c r="E4" s="43" t="str">
        <x:v>Hardware-first development</x:v>
      </x:c>
      <x:c r="F4" s="43" t="str">
        <x:v>Reduces debugging risk</x:v>
      </x:c>
      <x:c r="G4" s="43" t="str">
        <x:v>Accepted</x:v>
      </x:c>
      <x:c r="H4" s="43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D2</x:v>
      </x:c>
      <x:c r="B5" s="50" t="n">
        <x:v>46146</x:v>
      </x:c>
      <x:c r="C5" s="43" t="str">
        <x:v>Start with controlled reliable mesh instead of full AODV</x:v>
      </x:c>
      <x:c r="D5" s="43" t="str">
        <x:v>AODV on LoRa ESP32 is complex and hard to debug initially</x:v>
      </x:c>
      <x:c r="E5" s="43" t="str">
        <x:v>Full AODV immediately</x:v>
      </x:c>
      <x:c r="F5" s="43" t="str">
        <x:v>Faster prototype; can evolve later</x:v>
      </x:c>
      <x:c r="G5" s="43" t="str">
        <x:v>Recommended</x:v>
      </x:c>
      <x:c r="H5" s="43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D3</x:v>
      </x:c>
      <x:c r="B6" s="50" t="n">
        <x:v>46146</x:v>
      </x:c>
      <x:c r="C6" s="43" t="str">
        <x:v>If destination is not local, route to next network via gateway</x:v>
      </x:c>
      <x:c r="D6" s="43" t="str">
        <x:v>User requirement</x:v>
      </x:c>
      <x:c r="E6" s="43" t="str">
        <x:v>Drop unknown destinations</x:v>
      </x:c>
      <x:c r="F6" s="43" t="str">
        <x:v>Enables Network A to B messaging</x:v>
      </x:c>
      <x:c r="G6" s="43" t="str">
        <x:v>Accepted</x:v>
      </x:c>
      <x:c r="H6" s="43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D4</x:v>
      </x:c>
      <x:c r="B7" s="50" t="n">
        <x:v>46146</x:v>
      </x:c>
      <x:c r="C7" s="43" t="str">
        <x:v>Develop ESP32 code, then Raspberry Pi gateway, then Android app</x:v>
      </x:c>
      <x:c r="D7" s="43" t="str">
        <x:v>User requested order</x:v>
      </x:c>
      <x:c r="E7" s="43" t="str">
        <x:v>Android first</x:v>
      </x:c>
      <x:c r="F7" s="43" t="str">
        <x:v>Ensures app integrates with stable backend</x:v>
      </x:c>
      <x:c r="G7" s="43" t="str">
        <x:v>Accepted</x:v>
      </x:c>
      <x:c r="H7" s="43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50"/>
      <x:c r="C8" s="43"/>
      <x:c r="D8" s="43"/>
      <x:c r="E8" s="43"/>
      <x:c r="F8" s="43"/>
      <x:c r="G8" s="43"/>
      <x:c r="H8" s="43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5" t="str">
        <x:v>PUP MANET System Architecture Diagram</x:v>
      </x:c>
    </x:row>
    <x:row r="3">
      <x:c r="A3" s="59" t="str">
        <x:v>NETWORK A / LOCAL MANET CELL A</x:v>
      </x:c>
      <x:c r="I3" s="59" t="str">
        <x:v>NETWORK B / LOCAL MANET CELL B</x:v>
      </x:c>
    </x:row>
    <x:row r="5">
      <x:c r="B5" s="65" t="str">
        <x:v>Android Phone A1
Chat User / UI</x:v>
      </x:c>
      <x:c r="C5" s="66"/>
      <x:c r="D5" s="65" t="str">
        <x:v>Android Phone A2
Chat User / UI</x:v>
      </x:c>
      <x:c r="E5" s="66"/>
      <x:c r="J5" s="65" t="str">
        <x:v>Android Phone B1
Chat User / UI</x:v>
      </x:c>
      <x:c r="K5" s="66"/>
      <x:c r="L5" s="65" t="str">
        <x:v>Android Phone B2
Chat User / UI</x:v>
      </x:c>
      <x:c r="M5" s="66"/>
    </x:row>
    <x:row r="6">
      <x:c r="B6" s="67"/>
      <x:c r="C6" s="68"/>
      <x:c r="D6" s="67"/>
      <x:c r="E6" s="68"/>
      <x:c r="J6" s="67"/>
      <x:c r="K6" s="68"/>
      <x:c r="L6" s="67"/>
      <x:c r="M6" s="68"/>
    </x:row>
    <x:row r="7">
      <x:c r="C7" s="107" t="str">
        <x:v>↓ WiFi / App API</x:v>
      </x:c>
      <x:c r="D7" s="107" t="str">
        <x:v>↓ WiFi / App API</x:v>
      </x:c>
      <x:c r="K7" s="107" t="str">
        <x:v>↓ WiFi / App API</x:v>
      </x:c>
      <x:c r="L7" s="107" t="str">
        <x:v>↓ WiFi / App API</x:v>
      </x:c>
    </x:row>
    <x:row r="8">
      <x:c r="C8" s="65" t="str">
        <x:v>Android Phone A3
Chat User / UI</x:v>
      </x:c>
      <x:c r="D8" s="66"/>
      <x:c r="K8" s="65" t="str">
        <x:v>Android Phone B3
Chat User / UI</x:v>
      </x:c>
      <x:c r="L8" s="66"/>
    </x:row>
    <x:row r="9">
      <x:c r="C9" s="67"/>
      <x:c r="D9" s="68"/>
      <x:c r="K9" s="67"/>
      <x:c r="L9" s="68"/>
    </x:row>
    <x:row r="10">
      <x:c r="C10" s="107" t="str">
        <x:v>↓ Message Inject</x:v>
      </x:c>
      <x:c r="K10" s="107" t="str">
        <x:v>↓ Message Inject</x:v>
      </x:c>
    </x:row>
    <x:row r="11">
      <x:c r="B11" s="74" t="str">
        <x:v>ESP32 LoRa Node A1
SX1278 Ra-02</x:v>
      </x:c>
      <x:c r="C11" s="75"/>
      <x:c r="D11" s="74" t="str">
        <x:v>ESP32 LoRa Node A2
SX1278 Ra-02</x:v>
      </x:c>
      <x:c r="E11" s="75"/>
      <x:c r="J11" s="74" t="str">
        <x:v>ESP32 LoRa Node B1
SX1278 Ra-02</x:v>
      </x:c>
      <x:c r="K11" s="75"/>
      <x:c r="L11" s="74" t="str">
        <x:v>ESP32 LoRa Node B2
SX1278 Ra-02</x:v>
      </x:c>
      <x:c r="M11" s="75"/>
    </x:row>
    <x:row r="12">
      <x:c r="B12" s="76"/>
      <x:c r="C12" s="77"/>
      <x:c r="D12" s="76"/>
      <x:c r="E12" s="77"/>
      <x:c r="J12" s="76"/>
      <x:c r="K12" s="77"/>
      <x:c r="L12" s="76"/>
      <x:c r="M12" s="77"/>
    </x:row>
    <x:row r="13">
      <x:c r="C13" s="107" t="str">
        <x:v>↘ LoRa mesh ↙</x:v>
      </x:c>
      <x:c r="D13" s="107" t="str">
        <x:v>↙ LoRa mesh ↘</x:v>
      </x:c>
      <x:c r="K13" s="107" t="str">
        <x:v>↘ LoRa mesh ↙</x:v>
      </x:c>
      <x:c r="L13" s="107" t="str">
        <x:v>↙ LoRa mesh ↘</x:v>
      </x:c>
    </x:row>
    <x:row r="14">
      <x:c r="C14" s="74" t="str">
        <x:v>ESP32 LoRa Node A3
SX1278 Ra-02</x:v>
      </x:c>
      <x:c r="D14" s="75"/>
      <x:c r="K14" s="74" t="str">
        <x:v>ESP32 LoRa Node B3
SX1278 Ra-02</x:v>
      </x:c>
      <x:c r="L14" s="75"/>
    </x:row>
    <x:row r="15">
      <x:c r="C15" s="76"/>
      <x:c r="D15" s="77"/>
      <x:c r="K15" s="76"/>
      <x:c r="L15" s="77"/>
    </x:row>
    <x:row r="16">
      <x:c r="C16" s="107" t="str">
        <x:v>↓ Gateway uplink</x:v>
      </x:c>
      <x:c r="K16" s="107" t="str">
        <x:v>↓ Gateway uplink</x:v>
      </x:c>
    </x:row>
    <x:row r="18">
      <x:c r="B18" s="83" t="str">
        <x:v>Raspberry Pi 3B Gateway A
LoRa SPI + WiFi Router Link
Routing / Queue / Logs / API</x:v>
      </x:c>
      <x:c r="C18" s="84"/>
      <x:c r="D18" s="84"/>
      <x:c r="E18" s="85"/>
      <x:c r="J18" s="83" t="str">
        <x:v>Raspberry Pi 3B Gateway B
LoRa SPI + WiFi Router Link
Routing / Queue / Logs / API</x:v>
      </x:c>
      <x:c r="K18" s="84"/>
      <x:c r="L18" s="84"/>
      <x:c r="M18" s="85"/>
    </x:row>
    <x:row r="19">
      <x:c r="B19" s="86"/>
      <x:c r="C19" s="87"/>
      <x:c r="D19" s="87"/>
      <x:c r="E19" s="88"/>
      <x:c r="J19" s="86"/>
      <x:c r="K19" s="87"/>
      <x:c r="L19" s="87"/>
      <x:c r="M19" s="88"/>
    </x:row>
    <x:row r="20">
      <x:c r="B20" s="89"/>
      <x:c r="C20" s="90"/>
      <x:c r="D20" s="90"/>
      <x:c r="E20" s="91"/>
      <x:c r="J20" s="89"/>
      <x:c r="K20" s="90"/>
      <x:c r="L20" s="90"/>
      <x:c r="M20" s="91"/>
    </x:row>
    <x:row r="21">
      <x:c r="C21" s="107" t="str">
        <x:v>↓ WiFi route</x:v>
      </x:c>
      <x:c r="K21" s="107" t="str">
        <x:v>↓ WiFi route</x:v>
      </x:c>
    </x:row>
    <x:row r="23">
      <x:c r="B23" s="97" t="str">
        <x:v>2.4 GHz WiFi Router A
Satellite Path Simulator</x:v>
      </x:c>
      <x:c r="C23" s="98"/>
      <x:c r="D23" s="98"/>
      <x:c r="E23" s="99"/>
      <x:c r="J23" s="97" t="str">
        <x:v>2.4 GHz WiFi Router B
Satellite Path Simulator</x:v>
      </x:c>
      <x:c r="K23" s="98"/>
      <x:c r="L23" s="98"/>
      <x:c r="M23" s="99"/>
    </x:row>
    <x:row r="24">
      <x:c r="B24" s="100"/>
      <x:c r="C24" s="101"/>
      <x:c r="D24" s="101"/>
      <x:c r="E24" s="102"/>
      <x:c r="J24" s="100"/>
      <x:c r="K24" s="101"/>
      <x:c r="L24" s="101"/>
      <x:c r="M24" s="102"/>
    </x:row>
    <x:row r="25">
      <x:c r="D25" s="107" t="str">
        <x:v>↘</x:v>
      </x:c>
      <x:c r="J25" s="107" t="str">
        <x:v>↙</x:v>
      </x:c>
    </x:row>
    <x:row r="26">
      <x:c r="G26" s="97" t="str">
        <x:v>Simulated Satellite / Backhaul Link
Router A ↔ Router B via WiFi
Optional latency injection on Pi</x:v>
      </x:c>
      <x:c r="H26" s="99"/>
    </x:row>
    <x:row r="27">
      <x:c r="F27" s="107" t="str">
        <x:v>──────────────▶</x:v>
      </x:c>
      <x:c r="G27" s="103"/>
      <x:c r="H27" s="104"/>
      <x:c r="I27" s="107" t="str">
        <x:v>◀──────────────</x:v>
      </x:c>
    </x:row>
    <x:row r="28">
      <x:c r="G28" s="100"/>
      <x:c r="H28" s="102"/>
    </x:row>
    <x:row r="31">
      <x:c r="A31" s="59" t="str">
        <x:v>Implementation Notes</x:v>
      </x:c>
    </x:row>
    <x:row r="32">
      <x:c r="A32" s="115" t="str">
        <x:v>1</x:v>
      </x:c>
      <x:c r="B32" s="116" t="str">
        <x:v>Simulation-first approach: Android app and gateways can use simulated nodes/messages before physical LoRa firmware is activated.</x:v>
      </x:c>
      <x:c r="C32" s="116" t="str"/>
      <x:c r="D32" s="116" t="str"/>
      <x:c r="E32" s="116" t="str"/>
      <x:c r="F32" s="116" t="str"/>
      <x:c r="G32" s="116" t="str"/>
      <x:c r="H32" s="116" t="str"/>
      <x:c r="I32" s="116" t="str"/>
      <x:c r="J32" s="116" t="str"/>
      <x:c r="K32" s="116" t="str"/>
      <x:c r="L32" s="116" t="str"/>
      <x:c r="M32" s="116" t="str"/>
      <x:c r="N32" s="117" t="str"/>
    </x:row>
    <x:row r="33">
      <x:c r="A33" s="118" t="str">
        <x:v>2</x:v>
      </x:c>
      <x:c r="B33" s="119" t="str">
        <x:v>Each network has 3 MANET nodes. If the destination user is not found in the current network, the gateway routes the message to the next network through the simulated satellite/WiFi router path.</x:v>
      </x:c>
      <x:c r="C33" s="119" t="str"/>
      <x:c r="D33" s="119" t="str"/>
      <x:c r="E33" s="119" t="str"/>
      <x:c r="F33" s="119" t="str"/>
      <x:c r="G33" s="119" t="str"/>
      <x:c r="H33" s="119" t="str"/>
      <x:c r="I33" s="119" t="str"/>
      <x:c r="J33" s="119" t="str"/>
      <x:c r="K33" s="119" t="str"/>
      <x:c r="L33" s="119" t="str"/>
      <x:c r="M33" s="119" t="str"/>
      <x:c r="N33" s="120" t="str"/>
    </x:row>
    <x:row r="34">
      <x:c r="A34" s="121" t="str">
        <x:v>3</x:v>
      </x:c>
      <x:c r="B34" s="122" t="str">
        <x:v>Raspberry Pi gateways are the decision points: they manage LoRa packets, message queues, routing tables, failover status, and app-facing APIs.</x:v>
      </x:c>
      <x:c r="C34" s="122" t="str"/>
      <x:c r="D34" s="122" t="str"/>
      <x:c r="E34" s="122" t="str"/>
      <x:c r="F34" s="122" t="str"/>
      <x:c r="G34" s="122" t="str"/>
      <x:c r="H34" s="122" t="str"/>
      <x:c r="I34" s="122" t="str"/>
      <x:c r="J34" s="122" t="str"/>
      <x:c r="K34" s="122" t="str"/>
      <x:c r="L34" s="122" t="str"/>
      <x:c r="M34" s="122" t="str"/>
      <x:c r="N34" s="123" t="str"/>
    </x:row>
  </x:sheetData>
  <x:mergeCells>
    <x:mergeCell ref="A1:N1"/>
    <x:mergeCell ref="A3:F3"/>
    <x:mergeCell ref="I3:N3"/>
    <x:mergeCell ref="B5:C6"/>
    <x:mergeCell ref="D5:E6"/>
    <x:mergeCell ref="C8:D9"/>
    <x:mergeCell ref="B11:C12"/>
    <x:mergeCell ref="D11:E12"/>
    <x:mergeCell ref="C14:D15"/>
    <x:mergeCell ref="B18:E20"/>
    <x:mergeCell ref="B23:E24"/>
    <x:mergeCell ref="J5:K6"/>
    <x:mergeCell ref="L5:M6"/>
    <x:mergeCell ref="K8:L9"/>
    <x:mergeCell ref="J11:K12"/>
    <x:mergeCell ref="L11:M12"/>
    <x:mergeCell ref="K14:L15"/>
    <x:mergeCell ref="J18:M20"/>
    <x:mergeCell ref="J23:M24"/>
    <x:mergeCell ref="G26:H28"/>
    <x:mergeCell ref="A31:N31"/>
    <x:mergeCell ref="B32:N32"/>
    <x:mergeCell ref="B33:N33"/>
    <x:mergeCell ref="B34:N3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5" t="str">
        <x:v>PUP MANET Message and Data Flow Diagram</x:v>
      </x:c>
    </x:row>
    <x:row r="3">
      <x:c r="A3" s="59" t="str">
        <x:v>Flow Layer</x:v>
      </x:c>
      <x:c r="B3" s="59" t="str">
        <x:v>Step 1</x:v>
      </x:c>
      <x:c r="C3" s="59" t="str">
        <x:v>Step 2</x:v>
      </x:c>
      <x:c r="D3" s="59" t="str">
        <x:v>Step 3</x:v>
      </x:c>
      <x:c r="E3" s="59" t="str">
        <x:v>Decision</x:v>
      </x:c>
      <x:c r="F3" s="59" t="str">
        <x:v>Step 4A</x:v>
      </x:c>
      <x:c r="G3" s="59" t="str">
        <x:v>Step 4B</x:v>
      </x:c>
      <x:c r="H3" s="59" t="str">
        <x:v>Step 5</x:v>
      </x:c>
      <x:c r="I3" s="59" t="str">
        <x:v>Step 6</x:v>
      </x:c>
      <x:c r="J3" s="59" t="str">
        <x:v>Ack/Retry</x:v>
      </x:c>
      <x:c r="K3" s="59" t="str">
        <x:v>Storage</x:v>
      </x:c>
      <x:c r="L3" s="59" t="str">
        <x:v>Monitoring</x:v>
      </x:c>
      <x:c r="M3" s="59" t="str">
        <x:v>Output</x:v>
      </x:c>
      <x:c r="N3" s="59" t="str">
        <x:v>Status</x:v>
      </x:c>
    </x:row>
    <x:row r="4">
      <x:c r="A4" s="130" t="str">
        <x:v>User Message Creation</x:v>
      </x:c>
      <x:c r="B4" s="116" t="str">
        <x:v>Android user types message</x:v>
      </x:c>
      <x:c r="C4" s="116" t="str">
        <x:v>App checks local gateway connection</x:v>
      </x:c>
      <x:c r="D4" s="116" t="str">
        <x:v>Message sent to Gateway API</x:v>
      </x:c>
      <x:c r="E4" s="116" t="str">
        <x:v>Destination in same network?</x:v>
      </x:c>
      <x:c r="F4" s="116" t="str">
        <x:v>Yes: send to local LoRa route</x:v>
      </x:c>
      <x:c r="G4" s="116" t="str">
        <x:v>No: prepare inter-network route</x:v>
      </x:c>
      <x:c r="H4" s="116" t="str">
        <x:v>Gateway queues message</x:v>
      </x:c>
      <x:c r="I4" s="116" t="str">
        <x:v>Assign message_id + TTL</x:v>
      </x:c>
      <x:c r="J4" s="116" t="str">
        <x:v>Retry until ACK or timeout</x:v>
      </x:c>
      <x:c r="K4" s="116" t="str">
        <x:v>SQLite message log</x:v>
      </x:c>
      <x:c r="L4" s="116" t="str">
        <x:v>RSSI/SNR/hop/battery status</x:v>
      </x:c>
      <x:c r="M4" s="116" t="str">
        <x:v>Recipient receives message</x:v>
      </x:c>
      <x:c r="N4" s="85" t="str">
        <x:v>Normal</x:v>
      </x:c>
    </x:row>
    <x:row r="5">
      <x:c r="A5" s="131" t="str">
        <x:v>Local LoRa Delivery</x:v>
      </x:c>
      <x:c r="B5" s="119" t="str">
        <x:v>Gateway selects best local node</x:v>
      </x:c>
      <x:c r="C5" s="119" t="str">
        <x:v>LoRa packet sent to relay/node</x:v>
      </x:c>
      <x:c r="D5" s="119" t="str">
        <x:v>Node forwards if not recipient</x:v>
      </x:c>
      <x:c r="E5" s="119" t="str">
        <x:v>ACK received?</x:v>
      </x:c>
      <x:c r="F5" s="119" t="str">
        <x:v>Yes: mark delivered</x:v>
      </x:c>
      <x:c r="G5" s="119" t="str">
        <x:v>No: retry or re-route</x:v>
      </x:c>
      <x:c r="H5" s="119" t="str">
        <x:v>Duplicate filter checks message_id</x:v>
      </x:c>
      <x:c r="I5" s="119" t="str">
        <x:v>Hop count increments</x:v>
      </x:c>
      <x:c r="J5" s="119" t="str">
        <x:v>Max retries applied</x:v>
      </x:c>
      <x:c r="K5" s="119" t="str">
        <x:v>Delivery record saved</x:v>
      </x:c>
      <x:c r="L5" s="119" t="str">
        <x:v>Route quality updated</x:v>
      </x:c>
      <x:c r="M5" s="119" t="str">
        <x:v>Delivery confirmation shown</x:v>
      </x:c>
      <x:c r="N5" s="88" t="str">
        <x:v>Normal/Degraded</x:v>
      </x:c>
    </x:row>
    <x:row r="6">
      <x:c r="A6" s="131" t="str">
        <x:v>Inter-Network Routing</x:v>
      </x:c>
      <x:c r="B6" s="119" t="str">
        <x:v>Gateway A checks user registry</x:v>
      </x:c>
      <x:c r="C6" s="119" t="str">
        <x:v>Destination not local</x:v>
      </x:c>
      <x:c r="D6" s="119" t="str">
        <x:v>Forward to WiFi Router A</x:v>
      </x:c>
      <x:c r="E6" s="119" t="str">
        <x:v>Backhaul available?</x:v>
      </x:c>
      <x:c r="F6" s="119" t="str">
        <x:v>Yes: route to Gateway B</x:v>
      </x:c>
      <x:c r="G6" s="119" t="str">
        <x:v>No: buffer message</x:v>
      </x:c>
      <x:c r="H6" s="119" t="str">
        <x:v>Router A ↔ Router B WiFi path</x:v>
      </x:c>
      <x:c r="I6" s="119" t="str">
        <x:v>Gateway B receives message</x:v>
      </x:c>
      <x:c r="J6" s="119" t="str">
        <x:v>ACK back to Gateway A</x:v>
      </x:c>
      <x:c r="K6" s="119" t="str">
        <x:v>Queue retained until final ACK</x:v>
      </x:c>
      <x:c r="L6" s="119" t="str">
        <x:v>Backhaul latency monitored</x:v>
      </x:c>
      <x:c r="M6" s="119" t="str">
        <x:v>Message appears in Network B</x:v>
      </x:c>
      <x:c r="N6" s="88" t="str">
        <x:v>Failover</x:v>
      </x:c>
    </x:row>
    <x:row r="7">
      <x:c r="A7" s="131" t="str">
        <x:v>Failover Trigger</x:v>
      </x:c>
      <x:c r="B7" s="119" t="str">
        <x:v>Gateway monitors LoRa links</x:v>
      </x:c>
      <x:c r="C7" s="119" t="str">
        <x:v>RSSI/SNR/heartbeat checked</x:v>
      </x:c>
      <x:c r="D7" s="119" t="str">
        <x:v>Poor link lasts threshold time</x:v>
      </x:c>
      <x:c r="E7" s="119" t="str">
        <x:v>Route degraded?</x:v>
      </x:c>
      <x:c r="F7" s="119" t="str">
        <x:v>Yes: activate backhaul route</x:v>
      </x:c>
      <x:c r="G7" s="119" t="str">
        <x:v>No: stay local MANET</x:v>
      </x:c>
      <x:c r="H7" s="119" t="str">
        <x:v>Messages buffered during switch</x:v>
      </x:c>
      <x:c r="I7" s="119" t="str">
        <x:v>Order preserved by timestamp/id</x:v>
      </x:c>
      <x:c r="J7" s="119" t="str">
        <x:v>Failed packets retransmitted</x:v>
      </x:c>
      <x:c r="K7" s="119" t="str">
        <x:v>Failover event logged</x:v>
      </x:c>
      <x:c r="L7" s="119" t="str">
        <x:v>Dashboard status updates</x:v>
      </x:c>
      <x:c r="M7" s="119" t="str">
        <x:v>User sees delayed/sent status</x:v>
      </x:c>
      <x:c r="N7" s="88" t="str">
        <x:v>Emergency</x:v>
      </x:c>
    </x:row>
    <x:row r="8">
      <x:c r="A8" s="131" t="str">
        <x:v>Recovery/Reversion</x:v>
      </x:c>
      <x:c r="B8" s="119" t="str">
        <x:v>Gateway detects stable local route</x:v>
      </x:c>
      <x:c r="C8" s="119" t="str">
        <x:v>RSSI above threshold for stable period</x:v>
      </x:c>
      <x:c r="D8" s="119" t="str">
        <x:v>Test packet confirms route</x:v>
      </x:c>
      <x:c r="E8" s="119" t="str">
        <x:v>Return safe?</x:v>
      </x:c>
      <x:c r="F8" s="119" t="str">
        <x:v>Yes: revert to preferred route</x:v>
      </x:c>
      <x:c r="G8" s="119" t="str">
        <x:v>No: keep backhaul active</x:v>
      </x:c>
      <x:c r="H8" s="119" t="str">
        <x:v>Flush queued messages</x:v>
      </x:c>
      <x:c r="I8" s="119" t="str">
        <x:v>Final ACK validation</x:v>
      </x:c>
      <x:c r="J8" s="119" t="str">
        <x:v>Retry missing messages</x:v>
      </x:c>
      <x:c r="K8" s="119" t="str">
        <x:v>Logs retained</x:v>
      </x:c>
      <x:c r="L8" s="119" t="str">
        <x:v>Dashboard shows recovered</x:v>
      </x:c>
      <x:c r="M8" s="119" t="str">
        <x:v>App status returns normal</x:v>
      </x:c>
      <x:c r="N8" s="88" t="str">
        <x:v>Recovered</x:v>
      </x:c>
    </x:row>
    <x:row r="9">
      <x:c r="A9" s="132" t="str">
        <x:v>Simulation Mode</x:v>
      </x:c>
      <x:c r="B9" s="122" t="str">
        <x:v>Virtual nodes generated</x:v>
      </x:c>
      <x:c r="C9" s="122" t="str">
        <x:v>Virtual RSSI/SNR/battery values</x:v>
      </x:c>
      <x:c r="D9" s="122" t="str">
        <x:v>Virtual destination registry</x:v>
      </x:c>
      <x:c r="E9" s="122" t="str">
        <x:v>Test scenario selected</x:v>
      </x:c>
      <x:c r="F9" s="122" t="str">
        <x:v>Simulate normal/degraded/failover</x:v>
      </x:c>
      <x:c r="G9" s="122" t="str">
        <x:v>No hardware required</x:v>
      </x:c>
      <x:c r="H9" s="122" t="str">
        <x:v>Validate routing logic</x:v>
      </x:c>
      <x:c r="I9" s="122" t="str">
        <x:v>Validate Android UI later</x:v>
      </x:c>
      <x:c r="J9" s="122" t="str">
        <x:v>Validate ACK/retry logic</x:v>
      </x:c>
      <x:c r="K9" s="122" t="str">
        <x:v>Simulated logs saved</x:v>
      </x:c>
      <x:c r="L9" s="122" t="str">
        <x:v>Metrics plotted in dashboard</x:v>
      </x:c>
      <x:c r="M9" s="122" t="str">
        <x:v>Ready for physical testing</x:v>
      </x:c>
      <x:c r="N9" s="91" t="str">
        <x:v>Simulation</x:v>
      </x:c>
    </x:row>
    <x:row r="12">
      <x:c r="A12" s="59" t="str">
        <x:v>Simplified End-to-End Message Flow</x:v>
      </x:c>
    </x:row>
    <x:row r="14">
      <x:c r="A14" s="65" t="str">
        <x:v>Android Chat App
Sender</x:v>
      </x:c>
      <x:c r="B14" s="66"/>
      <x:c r="D14" s="83" t="str">
        <x:v>Gateway A
API + Queue</x:v>
      </x:c>
      <x:c r="E14" s="85"/>
      <x:c r="G14" s="74" t="str">
        <x:v>LoRa MANET A
3 Nodes</x:v>
      </x:c>
      <x:c r="H14" s="75"/>
      <x:c r="J14" s="83" t="str">
        <x:v>Gateway B
API + Queue</x:v>
      </x:c>
      <x:c r="K14" s="85"/>
      <x:c r="M14" s="65" t="str">
        <x:v>Android Chat App
Receiver</x:v>
      </x:c>
      <x:c r="N14" s="66"/>
    </x:row>
    <x:row r="15">
      <x:c r="A15" s="142"/>
      <x:c r="B15" s="143"/>
      <x:c r="C15" s="148" t="str">
        <x:v>▶</x:v>
      </x:c>
      <x:c r="D15" s="86"/>
      <x:c r="E15" s="88"/>
      <x:c r="F15" s="148" t="str">
        <x:v>▶</x:v>
      </x:c>
      <x:c r="G15" s="144"/>
      <x:c r="H15" s="145"/>
      <x:c r="I15" s="148" t="str">
        <x:v>▶</x:v>
      </x:c>
      <x:c r="J15" s="86"/>
      <x:c r="K15" s="88"/>
      <x:c r="L15" s="148" t="str">
        <x:v>▶</x:v>
      </x:c>
      <x:c r="M15" s="142"/>
      <x:c r="N15" s="143"/>
    </x:row>
    <x:row r="16">
      <x:c r="A16" s="67"/>
      <x:c r="B16" s="68"/>
      <x:c r="D16" s="89"/>
      <x:c r="E16" s="91"/>
      <x:c r="G16" s="76"/>
      <x:c r="H16" s="77"/>
      <x:c r="J16" s="89"/>
      <x:c r="K16" s="91"/>
      <x:c r="M16" s="67"/>
      <x:c r="N16" s="68"/>
    </x:row>
    <x:row r="18">
      <x:c r="E18" s="148" t="str">
        <x:v>▼</x:v>
      </x:c>
      <x:c r="J18" s="148" t="str">
        <x:v>▲</x:v>
      </x:c>
    </x:row>
    <x:row r="20">
      <x:c r="D20" s="97" t="str">
        <x:v>If local route fails:
Gateway A buffers + reroutes</x:v>
      </x:c>
      <x:c r="E20" s="99"/>
      <x:c r="G20" s="97" t="str">
        <x:v>WiFi Router A ↔ Router B
Simulated Satellite Path</x:v>
      </x:c>
      <x:c r="H20" s="99"/>
      <x:c r="J20" s="83" t="str">
        <x:v>Gateway B injects message
into Network B</x:v>
      </x:c>
      <x:c r="K20" s="85"/>
    </x:row>
    <x:row r="21">
      <x:c r="D21" s="103"/>
      <x:c r="E21" s="104"/>
      <x:c r="F21" s="148" t="str">
        <x:v>▶</x:v>
      </x:c>
      <x:c r="G21" s="103"/>
      <x:c r="H21" s="104"/>
      <x:c r="I21" s="148" t="str">
        <x:v>▶</x:v>
      </x:c>
      <x:c r="J21" s="86"/>
      <x:c r="K21" s="88"/>
    </x:row>
    <x:row r="22">
      <x:c r="D22" s="100"/>
      <x:c r="E22" s="102"/>
      <x:c r="G22" s="100"/>
      <x:c r="H22" s="102"/>
      <x:c r="J22" s="89"/>
      <x:c r="K22" s="91"/>
    </x:row>
    <x:row r="26">
      <x:c r="A26" s="59" t="str">
        <x:v>Control / Monitoring Data Used for Routing Decisions</x:v>
      </x:c>
    </x:row>
    <x:row r="27">
      <x:c r="A27" s="149" t="str">
        <x:v>Metric</x:v>
      </x:c>
      <x:c r="B27" s="150" t="str">
        <x:v>Source</x:v>
      </x:c>
      <x:c r="C27" s="150" t="str">
        <x:v>Used By</x:v>
      </x:c>
      <x:c r="D27" s="150" t="str">
        <x:v>Purpose</x:v>
      </x:c>
      <x:c r="E27" s="150" t="str">
        <x:v>Initial Threshold / Rule</x:v>
      </x:c>
      <x:c r="F27" s="151" t="str">
        <x:v>Workbook Tracker</x:v>
      </x:c>
    </x:row>
    <x:row r="28">
      <x:c r="A28" s="125" t="str">
        <x:v>RSSI</x:v>
      </x:c>
      <x:c r="B28" s="119" t="str">
        <x:v>LoRa packet metadata</x:v>
      </x:c>
      <x:c r="C28" s="119" t="str">
        <x:v>ESP32 nodes + Pi gateway</x:v>
      </x:c>
      <x:c r="D28" s="119" t="str">
        <x:v>Detect link quality and choose route</x:v>
      </x:c>
      <x:c r="E28" s="119" t="str">
        <x:v>Warning: -78 dBm; critical: tune during test</x:v>
      </x:c>
      <x:c r="F28" s="120" t="str">
        <x:v>Config Tracker / Routing &amp; Failover</x:v>
      </x:c>
    </x:row>
    <x:row r="29">
      <x:c r="A29" s="125" t="str">
        <x:v>SNR</x:v>
      </x:c>
      <x:c r="B29" s="119" t="str">
        <x:v>LoRa packet metadata</x:v>
      </x:c>
      <x:c r="C29" s="119" t="str">
        <x:v>Pi gateway routing service</x:v>
      </x:c>
      <x:c r="D29" s="119" t="str">
        <x:v>Prefer cleaner LoRa route</x:v>
      </x:c>
      <x:c r="E29" s="119" t="str">
        <x:v>Higher SNR preferred</x:v>
      </x:c>
      <x:c r="F29" s="120" t="str">
        <x:v>Routing &amp; Failover</x:v>
      </x:c>
    </x:row>
    <x:row r="30">
      <x:c r="A30" s="125" t="str">
        <x:v>Hop Count</x:v>
      </x:c>
      <x:c r="B30" s="119" t="str">
        <x:v>Packet header</x:v>
      </x:c>
      <x:c r="C30" s="119" t="str">
        <x:v>Nodes + gateway</x:v>
      </x:c>
      <x:c r="D30" s="119" t="str">
        <x:v>Avoid long routes and loops</x:v>
      </x:c>
      <x:c r="E30" s="119" t="str">
        <x:v>Max hop count: 3 initial</x:v>
      </x:c>
      <x:c r="F30" s="120" t="str">
        <x:v>Packet Protocol</x:v>
      </x:c>
    </x:row>
    <x:row r="31">
      <x:c r="A31" s="125" t="str">
        <x:v>Message ACK</x:v>
      </x:c>
      <x:c r="B31" s="119" t="str">
        <x:v>Recipient/gateway</x:v>
      </x:c>
      <x:c r="C31" s="119" t="str">
        <x:v>Sender/gateway queue</x:v>
      </x:c>
      <x:c r="D31" s="119" t="str">
        <x:v>Confirm delivery and trigger retry</x:v>
      </x:c>
      <x:c r="E31" s="119" t="str">
        <x:v>Retry 3 times initial</x:v>
      </x:c>
      <x:c r="F31" s="120" t="str">
        <x:v>Packet Protocol</x:v>
      </x:c>
    </x:row>
    <x:row r="32">
      <x:c r="A32" s="125" t="str">
        <x:v>Destination Registry</x:v>
      </x:c>
      <x:c r="B32" s="119" t="str">
        <x:v>Gateway database</x:v>
      </x:c>
      <x:c r="C32" s="119" t="str">
        <x:v>Gateway routing service</x:v>
      </x:c>
      <x:c r="D32" s="119" t="str">
        <x:v>Determine local vs next-network routing</x:v>
      </x:c>
      <x:c r="E32" s="119" t="str">
        <x:v>If not local, route to other network</x:v>
      </x:c>
      <x:c r="F32" s="120" t="str">
        <x:v>Config Tracker</x:v>
      </x:c>
    </x:row>
    <x:row r="33">
      <x:c r="A33" s="126" t="str">
        <x:v>Backhaul Status</x:v>
      </x:c>
      <x:c r="B33" s="122" t="str">
        <x:v>WiFi router ping/API</x:v>
      </x:c>
      <x:c r="C33" s="122" t="str">
        <x:v>Pi gateway failover service</x:v>
      </x:c>
      <x:c r="D33" s="122" t="str">
        <x:v>Activate inter-network path</x:v>
      </x:c>
      <x:c r="E33" s="122" t="str">
        <x:v>10 sec failure confirmation</x:v>
      </x:c>
      <x:c r="F33" s="123" t="str">
        <x:v>Routing &amp; Failover</x:v>
      </x:c>
    </x:row>
  </x:sheetData>
  <x:mergeCells>
    <x:mergeCell ref="A1:N1"/>
    <x:mergeCell ref="A12:N12"/>
    <x:mergeCell ref="A14:B16"/>
    <x:mergeCell ref="D14:E16"/>
    <x:mergeCell ref="G14:H16"/>
    <x:mergeCell ref="J14:K16"/>
    <x:mergeCell ref="M14:N16"/>
    <x:mergeCell ref="D20:E22"/>
    <x:mergeCell ref="G20:H22"/>
    <x:mergeCell ref="J20:K22"/>
    <x:mergeCell ref="A26:N26"/>
  </x:mergeCells>
  <x:pageMargins left="0.7" right="0.7" top="0.75" bottom="0.75" header="0.3" footer="0.3"/>
</x:worksheet>
</file>