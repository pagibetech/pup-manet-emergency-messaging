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sheets/sheet17.xml" ContentType="application/vnd.openxmlformats-officedocument.spreadsheetml.worksheet+xml"/>
  <Override PartName="/xl/drawings/drawing2.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71835ad618412e" /></Relationships>
</file>

<file path=xl/workbook.xml><?xml version="1.0" encoding="utf-8"?>
<x:workbook xmlns:x="http://schemas.openxmlformats.org/spreadsheetml/2006/main">
  <x:sheets>
    <x:sheet xmlns:r="http://schemas.openxmlformats.org/officeDocument/2006/relationships" name="Dashboard" sheetId="1" r:id="R8baa3bf1593a47a1"/>
    <x:sheet xmlns:r="http://schemas.openxmlformats.org/officeDocument/2006/relationships" name="README" sheetId="2" r:id="R6264b6f1faa84444"/>
    <x:sheet xmlns:r="http://schemas.openxmlformats.org/officeDocument/2006/relationships" name="Architecture" sheetId="3" r:id="R622fb64cb9b54a66"/>
    <x:sheet xmlns:r="http://schemas.openxmlformats.org/officeDocument/2006/relationships" name="Phase Plan" sheetId="4" r:id="R62dab6e577e84833"/>
    <x:sheet xmlns:r="http://schemas.openxmlformats.org/officeDocument/2006/relationships" name="Detailed Steps" sheetId="5" r:id="Rd0d5defbebab41d9"/>
    <x:sheet xmlns:r="http://schemas.openxmlformats.org/officeDocument/2006/relationships" name="Hardware BOM" sheetId="6" r:id="R164274b6cd7548c0"/>
    <x:sheet xmlns:r="http://schemas.openxmlformats.org/officeDocument/2006/relationships" name="Config Tracker" sheetId="7" r:id="R0f56cc17ffd345ed"/>
    <x:sheet xmlns:r="http://schemas.openxmlformats.org/officeDocument/2006/relationships" name="Packet Protocol" sheetId="8" r:id="Rc40baf3e48344aa8"/>
    <x:sheet xmlns:r="http://schemas.openxmlformats.org/officeDocument/2006/relationships" name="Routing &amp; Failover" sheetId="9" r:id="Rf8aff63ea655451d"/>
    <x:sheet xmlns:r="http://schemas.openxmlformats.org/officeDocument/2006/relationships" name="Simulation Plan" sheetId="10" r:id="R06c5f9b83ea84eb9"/>
    <x:sheet xmlns:r="http://schemas.openxmlformats.org/officeDocument/2006/relationships" name="Android App Plan" sheetId="11" r:id="R367eaa61acb541d0"/>
    <x:sheet xmlns:r="http://schemas.openxmlformats.org/officeDocument/2006/relationships" name="Test Campaign" sheetId="12" r:id="R5b974421afec4061"/>
    <x:sheet xmlns:r="http://schemas.openxmlformats.org/officeDocument/2006/relationships" name="Progress Tracker" sheetId="13" r:id="R73742f5c22814329"/>
    <x:sheet xmlns:r="http://schemas.openxmlformats.org/officeDocument/2006/relationships" name="Issue Log" sheetId="14" r:id="R1514e3ef031f4876"/>
    <x:sheet xmlns:r="http://schemas.openxmlformats.org/officeDocument/2006/relationships" name="Decision Log" sheetId="15" r:id="R6a5d963db1824608"/>
    <x:sheet xmlns:r="http://schemas.openxmlformats.org/officeDocument/2006/relationships" name="System Diagram" sheetId="16" r:id="Re31dda83392041d5"/>
    <x:sheet xmlns:r="http://schemas.openxmlformats.org/officeDocument/2006/relationships" name="Data Flow" sheetId="17" r:id="Rb3eb358f2d7946bd"/>
    <x:sheet xmlns:r="http://schemas.openxmlformats.org/officeDocument/2006/relationships" name="Codex GitHub Workflow" sheetId="18" r:id="Ra2a5ca59e80b486d"/>
    <x:sheet xmlns:r="http://schemas.openxmlformats.org/officeDocument/2006/relationships" name="Codex Task Prompts" sheetId="19" r:id="Rfc166ada93bf4091"/>
    <x:sheet xmlns:r="http://schemas.openxmlformats.org/officeDocument/2006/relationships" name="Repo Structure" sheetId="20" r:id="Rf510ef9cc174426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9">
    <x:font>
      <x:sz val="11"/>
      <x:name val="Carlito"/>
    </x:font>
    <x:font>
      <x:b/>
      <x:sz val="16"/>
      <x:color rgb="FFFFFF"/>
      <x:name val="Carlito"/>
    </x:font>
    <x:font>
      <x:b/>
      <x:sz val="11"/>
      <x:color rgb="000000"/>
      <x:name val="Carlito"/>
    </x:font>
    <x:font>
      <x:b/>
      <x:sz val="11"/>
      <x:color rgb="FFFFFF"/>
      <x:name val="Carlito"/>
    </x:font>
    <x:font>
      <x:b/>
      <x:sz val="11"/>
      <x:color rgb="1E3A8A"/>
      <x:name val="Carlito"/>
    </x:font>
    <x:font>
      <x:b/>
      <x:sz val="11"/>
      <x:color rgb="166534"/>
      <x:name val="Carlito"/>
    </x:font>
    <x:font>
      <x:b/>
      <x:sz val="11"/>
      <x:color rgb="92400E"/>
      <x:name val="Carlito"/>
    </x:font>
    <x:font>
      <x:b/>
      <x:sz val="11"/>
      <x:color rgb="991B1B"/>
      <x:name val="Carlito"/>
    </x:font>
    <x:font>
      <x:b/>
      <x:sz val="11"/>
      <x:color rgb="334155"/>
      <x:name val="Carlito"/>
    </x:font>
    <x:font>
      <x:b/>
      <x:sz val="11"/>
      <x:name val="Carlito"/>
    </x:font>
    <x:font>
      <x:sz val="11"/>
      <x:color rgb="334155"/>
      <x:name val="Carlito"/>
    </x:font>
    <x:font>
      <x:b/>
      <x:sz val="11"/>
      <x:color rgb="075985"/>
      <x:name val="Carlito"/>
    </x:font>
    <x:font>
      <x:b/>
      <x:sz val="18"/>
      <x:color rgb="334155"/>
      <x:name val="Carlito"/>
    </x:font>
    <x:font>
      <x:b/>
      <x:sz val="13"/>
      <x:color rgb="FFFFFF"/>
      <x:name val="Carlito"/>
    </x:font>
    <x:font>
      <x:b/>
      <x:sz val="11"/>
      <x:color rgb="111827"/>
      <x:name val="Carlito"/>
    </x:font>
    <x:font>
      <x:b/>
      <x:sz val="11"/>
      <x:color rgb="9A3412"/>
      <x:name val="Carlito"/>
    </x:font>
    <x:font>
      <x:b/>
      <x:sz val="14"/>
      <x:color rgb="FFFFFF"/>
      <x:name val="Carlito"/>
    </x:font>
    <x:font>
      <x:b/>
      <x:sz val="11"/>
      <x:color rgb="0B1F4D"/>
      <x:name val="Carlito"/>
    </x:font>
    <x:font>
      <x:sz val="11"/>
      <x:color rgb="7A4D00"/>
      <x:name val="Carlito"/>
    </x:font>
  </x:fonts>
  <x:fills count="21">
    <x:fill>
      <x:patternFill patternType="none"/>
    </x:fill>
    <x:fill>
      <x:patternFill patternType="gray125"/>
    </x:fill>
    <x:fill>
      <x:patternFill patternType="solid">
        <x:fgColor rgb="0B1F33"/>
      </x:patternFill>
    </x:fill>
    <x:fill>
      <x:patternFill patternType="solid">
        <x:fgColor rgb="D9EAF7"/>
      </x:patternFill>
    </x:fill>
    <x:fill>
      <x:patternFill patternType="solid">
        <x:fgColor rgb="1F4E78"/>
      </x:patternFill>
    </x:fill>
    <x:fill>
      <x:patternFill patternType="solid">
        <x:fgColor rgb="1E3A8A"/>
      </x:patternFill>
    </x:fill>
    <x:fill>
      <x:patternFill patternType="solid">
        <x:fgColor rgb="0F766E"/>
      </x:patternFill>
    </x:fill>
    <x:fill>
      <x:patternFill patternType="solid">
        <x:fgColor rgb="DBEAFE"/>
      </x:patternFill>
    </x:fill>
    <x:fill>
      <x:patternFill patternType="solid">
        <x:fgColor rgb="DCFCE7"/>
      </x:patternFill>
    </x:fill>
    <x:fill>
      <x:patternFill patternType="solid">
        <x:fgColor rgb="FEF3C7"/>
      </x:patternFill>
    </x:fill>
    <x:fill>
      <x:patternFill patternType="solid">
        <x:fgColor rgb="FEE2E2"/>
      </x:patternFill>
    </x:fill>
    <x:fill>
      <x:patternFill patternType="solid">
        <x:fgColor rgb="E0F2FE"/>
      </x:patternFill>
    </x:fill>
    <x:fill>
      <x:patternFill patternType="solid">
        <x:fgColor rgb="F8FAFC"/>
      </x:patternFill>
    </x:fill>
    <x:fill>
      <x:patternFill patternType="solid">
        <x:fgColor rgb="0B2A61"/>
      </x:patternFill>
    </x:fill>
    <x:fill>
      <x:patternFill patternType="solid">
        <x:fgColor rgb="EAF3FF"/>
      </x:patternFill>
    </x:fill>
    <x:fill>
      <x:patternFill patternType="solid">
        <x:fgColor rgb="FFF7ED"/>
      </x:patternFill>
    </x:fill>
    <x:fill>
      <x:patternFill patternType="solid">
        <x:fgColor rgb="0B1F4D"/>
      </x:patternFill>
    </x:fill>
    <x:fill>
      <x:patternFill patternType="solid">
        <x:fgColor rgb="1D4ED8"/>
      </x:patternFill>
    </x:fill>
    <x:fill>
      <x:patternFill patternType="solid">
        <x:fgColor rgb="D9EAF7"/>
      </x:patternFill>
    </x:fill>
    <x:fill>
      <x:patternFill patternType="solid">
        <x:fgColor rgb="FFF2CC"/>
      </x:patternFill>
    </x:fill>
    <x:fill>
      <x:patternFill patternType="solid">
        <x:fgColor rgb="EAF2F8"/>
      </x:patternFill>
    </x:fill>
  </x:fills>
  <x:borders count="11">
    <x:border/>
    <x:border/>
    <x:border>
      <x:left>
        <x:color rgb="64748B"/>
      </x:left>
      <x:right>
        <x:color rgb="CBD5E1"/>
      </x:right>
      <x:top>
        <x:color rgb="64748B"/>
      </x:top>
      <x:bottom>
        <x:color rgb="CBD5E1"/>
      </x:bottom>
    </x:border>
    <x:border>
      <x:left>
        <x:color rgb="CBD5E1"/>
      </x:left>
      <x:right>
        <x:color rgb="64748B"/>
      </x:right>
      <x:top>
        <x:color rgb="64748B"/>
      </x:top>
      <x:bottom>
        <x:color rgb="CBD5E1"/>
      </x:bottom>
    </x:border>
    <x:border>
      <x:left>
        <x:color rgb="64748B"/>
      </x:left>
      <x:right>
        <x:color rgb="CBD5E1"/>
      </x:right>
      <x:top>
        <x:color rgb="CBD5E1"/>
      </x:top>
      <x:bottom>
        <x:color rgb="64748B"/>
      </x:bottom>
    </x:border>
    <x:border>
      <x:left>
        <x:color rgb="CBD5E1"/>
      </x:left>
      <x:right>
        <x:color rgb="64748B"/>
      </x:right>
      <x:top>
        <x:color rgb="CBD5E1"/>
      </x:top>
      <x:bottom>
        <x:color rgb="64748B"/>
      </x:bottom>
    </x:border>
    <x:border>
      <x:left>
        <x:color rgb="CBD5E1"/>
      </x:left>
      <x:right>
        <x:color rgb="CBD5E1"/>
      </x:right>
      <x:top>
        <x:color rgb="64748B"/>
      </x:top>
      <x:bottom>
        <x:color rgb="CBD5E1"/>
      </x:bottom>
    </x:border>
    <x:border>
      <x:left>
        <x:color rgb="64748B"/>
      </x:left>
      <x:right>
        <x:color rgb="CBD5E1"/>
      </x:right>
      <x:top>
        <x:color rgb="CBD5E1"/>
      </x:top>
      <x:bottom>
        <x:color rgb="CBD5E1"/>
      </x:bottom>
    </x:border>
    <x:border>
      <x:left>
        <x:color rgb="CBD5E1"/>
      </x:left>
      <x:right>
        <x:color rgb="CBD5E1"/>
      </x:right>
      <x:top>
        <x:color rgb="CBD5E1"/>
      </x:top>
      <x:bottom>
        <x:color rgb="CBD5E1"/>
      </x:bottom>
    </x:border>
    <x:border>
      <x:left>
        <x:color rgb="CBD5E1"/>
      </x:left>
      <x:right>
        <x:color rgb="64748B"/>
      </x:right>
      <x:top>
        <x:color rgb="CBD5E1"/>
      </x:top>
      <x:bottom>
        <x:color rgb="CBD5E1"/>
      </x:bottom>
    </x:border>
    <x:border>
      <x:left>
        <x:color rgb="CBD5E1"/>
      </x:left>
      <x:right>
        <x:color rgb="CBD5E1"/>
      </x:right>
      <x:top>
        <x:color rgb="CBD5E1"/>
      </x:top>
      <x:bottom>
        <x:color rgb="64748B"/>
      </x:bottom>
    </x:border>
  </x:borders>
  <x:cellStyleXfs count="1">
    <x:xf numFmtId="0" fontId="0" fillId="0" borderId="0"/>
  </x:cellStyleXfs>
  <x:cellXfs count="2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wrapText="1"/>
    </x:xf>
    <x:xf numFmtId="200" fontId="0" fillId="0" borderId="1" xfId="0" applyNumberFormat="1" applyFont="1" applyFill="1" applyBorder="1" applyAlignment="1">
      <x:alignment vertical="top"/>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horizontal="center" wrapText="1"/>
    </x:xf>
    <x:xf numFmtId="0" fontId="4" fillId="7" borderId="0" xfId="0" applyNumberFormat="1" applyFont="1" applyFill="1" applyBorder="1" applyAlignment="1">
      <x:alignment horizontal="center" vertical="center" wrapText="1"/>
    </x:xf>
    <x:xf numFmtId="0" fontId="4" fillId="7" borderId="2" xfId="0" applyNumberFormat="1" applyFont="1" applyFill="1" applyBorder="1" applyAlignment="1">
      <x:alignment horizontal="center" vertical="center" wrapText="1"/>
    </x:xf>
    <x:xf numFmtId="0" fontId="4" fillId="7" borderId="3" xfId="0" applyNumberFormat="1" applyFont="1" applyFill="1" applyBorder="1" applyAlignment="1">
      <x:alignment horizontal="center" vertical="center" wrapText="1"/>
    </x:xf>
    <x:xf numFmtId="0" fontId="4" fillId="7" borderId="4" xfId="0" applyNumberFormat="1" applyFont="1" applyFill="1" applyBorder="1" applyAlignment="1">
      <x:alignment horizontal="center" vertical="center" wrapText="1"/>
    </x:xf>
    <x:xf numFmtId="0" fontId="4" fillId="7" borderId="5"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5" fillId="8" borderId="2" xfId="0" applyNumberFormat="1" applyFont="1" applyFill="1" applyBorder="1" applyAlignment="1">
      <x:alignment horizontal="center" vertical="center" wrapText="1"/>
    </x:xf>
    <x:xf numFmtId="0" fontId="5" fillId="8" borderId="3" xfId="0" applyNumberFormat="1" applyFont="1" applyFill="1" applyBorder="1" applyAlignment="1">
      <x:alignment horizontal="center" vertical="center" wrapText="1"/>
    </x:xf>
    <x:xf numFmtId="0" fontId="5" fillId="8" borderId="4" xfId="0" applyNumberFormat="1" applyFont="1" applyFill="1" applyBorder="1" applyAlignment="1">
      <x:alignment horizontal="center" vertical="center" wrapText="1"/>
    </x:xf>
    <x:xf numFmtId="0" fontId="5" fillId="8" borderId="5" xfId="0" applyNumberFormat="1" applyFont="1" applyFill="1" applyBorder="1" applyAlignment="1">
      <x:alignment horizontal="center"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horizontal="center" wrapText="1"/>
    </x:xf>
    <x:xf numFmtId="0" fontId="6" fillId="9" borderId="0" xfId="0" applyNumberFormat="1" applyFont="1" applyFill="1" applyBorder="1" applyAlignment="1">
      <x:alignment horizontal="center" vertical="center" wrapText="1"/>
    </x:xf>
    <x:xf numFmtId="0" fontId="6" fillId="9" borderId="2" xfId="0" applyNumberFormat="1" applyFont="1" applyFill="1" applyBorder="1" applyAlignment="1">
      <x:alignment horizontal="center" vertical="center" wrapText="1"/>
    </x:xf>
    <x:xf numFmtId="0" fontId="6" fillId="9" borderId="6" xfId="0" applyNumberFormat="1" applyFont="1" applyFill="1" applyBorder="1" applyAlignment="1">
      <x:alignment horizontal="center" vertical="center" wrapText="1"/>
    </x:xf>
    <x:xf numFmtId="0" fontId="6" fillId="9" borderId="3" xfId="0" applyNumberFormat="1" applyFont="1" applyFill="1" applyBorder="1" applyAlignment="1">
      <x:alignment horizontal="center" vertical="center" wrapText="1"/>
    </x:xf>
    <x:xf numFmtId="0" fontId="6" fillId="9" borderId="7" xfId="0" applyNumberFormat="1" applyFont="1" applyFill="1" applyBorder="1" applyAlignment="1">
      <x:alignment horizontal="center" vertical="center" wrapText="1"/>
    </x:xf>
    <x:xf numFmtId="0" fontId="6" fillId="9" borderId="8" xfId="0" applyNumberFormat="1" applyFont="1" applyFill="1" applyBorder="1" applyAlignment="1">
      <x:alignment horizontal="center" vertical="center" wrapText="1"/>
    </x:xf>
    <x:xf numFmtId="0" fontId="6" fillId="9" borderId="9" xfId="0" applyNumberFormat="1" applyFont="1" applyFill="1" applyBorder="1" applyAlignment="1">
      <x:alignment horizontal="center" vertical="center" wrapText="1"/>
    </x:xf>
    <x:xf numFmtId="0" fontId="6" fillId="9" borderId="4" xfId="0" applyNumberFormat="1" applyFont="1" applyFill="1" applyBorder="1" applyAlignment="1">
      <x:alignment horizontal="center" vertical="center" wrapText="1"/>
    </x:xf>
    <x:xf numFmtId="0" fontId="6" fillId="9" borderId="10" xfId="0" applyNumberFormat="1" applyFont="1" applyFill="1" applyBorder="1" applyAlignment="1">
      <x:alignment horizontal="center" vertical="center" wrapText="1"/>
    </x:xf>
    <x:xf numFmtId="0" fontId="6" fillId="9" borderId="5" xfId="0" applyNumberFormat="1" applyFont="1" applyFill="1" applyBorder="1" applyAlignment="1">
      <x:alignment horizontal="center" vertic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horizontal="center" wrapText="1"/>
    </x:xf>
    <x:xf numFmtId="0" fontId="7" fillId="10" borderId="0" xfId="0" applyNumberFormat="1" applyFont="1" applyFill="1" applyBorder="1" applyAlignment="1">
      <x:alignment horizontal="center" vertical="center" wrapText="1"/>
    </x:xf>
    <x:xf numFmtId="0" fontId="7" fillId="10" borderId="2" xfId="0" applyNumberFormat="1" applyFont="1" applyFill="1" applyBorder="1" applyAlignment="1">
      <x:alignment horizontal="center" vertical="center" wrapText="1"/>
    </x:xf>
    <x:xf numFmtId="0" fontId="7" fillId="10" borderId="6" xfId="0" applyNumberFormat="1" applyFont="1" applyFill="1" applyBorder="1" applyAlignment="1">
      <x:alignment horizontal="center" vertical="center" wrapText="1"/>
    </x:xf>
    <x:xf numFmtId="0" fontId="7" fillId="10" borderId="3" xfId="0" applyNumberFormat="1" applyFont="1" applyFill="1" applyBorder="1" applyAlignment="1">
      <x:alignment horizontal="center" vertical="center" wrapText="1"/>
    </x:xf>
    <x:xf numFmtId="0" fontId="7" fillId="10" borderId="4" xfId="0" applyNumberFormat="1" applyFont="1" applyFill="1" applyBorder="1" applyAlignment="1">
      <x:alignment horizontal="center" vertical="center" wrapText="1"/>
    </x:xf>
    <x:xf numFmtId="0" fontId="7" fillId="10" borderId="10" xfId="0" applyNumberFormat="1" applyFont="1" applyFill="1" applyBorder="1" applyAlignment="1">
      <x:alignment horizontal="center" vertical="center" wrapText="1"/>
    </x:xf>
    <x:xf numFmtId="0" fontId="7" fillId="10" borderId="5" xfId="0" applyNumberFormat="1" applyFont="1" applyFill="1" applyBorder="1" applyAlignment="1">
      <x:alignment horizontal="center" vertical="center" wrapText="1"/>
    </x:xf>
    <x:xf numFmtId="0" fontId="7" fillId="10" borderId="7" xfId="0" applyNumberFormat="1" applyFont="1" applyFill="1" applyBorder="1" applyAlignment="1">
      <x:alignment horizontal="center" vertical="center" wrapText="1"/>
    </x:xf>
    <x:xf numFmtId="0" fontId="7" fillId="10" borderId="9"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horizontal="center"/>
    </x:xf>
    <x:xf numFmtId="0" fontId="8" fillId="0" borderId="0" xfId="0" applyNumberFormat="1" applyFont="1" applyFill="1" applyBorder="1" applyAlignment="1">
      <x:alignment horizontal="center" vertical="center"/>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top" wrapText="1"/>
    </x:xf>
    <x:xf numFmtId="0" fontId="9" fillId="11" borderId="2" xfId="0" applyNumberFormat="1" applyFont="1" applyFill="1" applyBorder="1" applyAlignment="1">
      <x:alignment horizontal="center"/>
    </x:xf>
    <x:xf numFmtId="0" fontId="10" fillId="12" borderId="6" xfId="0" applyNumberFormat="1" applyFont="1" applyFill="1" applyBorder="1" applyAlignment="1">
      <x:alignment vertical="top" wrapText="1"/>
    </x:xf>
    <x:xf numFmtId="0" fontId="10" fillId="12" borderId="3" xfId="0" applyNumberFormat="1" applyFont="1" applyFill="1" applyBorder="1" applyAlignment="1">
      <x:alignment vertical="top" wrapText="1"/>
    </x:xf>
    <x:xf numFmtId="0" fontId="9" fillId="11" borderId="7" xfId="0" applyNumberFormat="1" applyFont="1" applyFill="1" applyBorder="1" applyAlignment="1">
      <x:alignment horizontal="center"/>
    </x:xf>
    <x:xf numFmtId="0" fontId="10" fillId="12" borderId="8" xfId="0" applyNumberFormat="1" applyFont="1" applyFill="1" applyBorder="1" applyAlignment="1">
      <x:alignment vertical="top" wrapText="1"/>
    </x:xf>
    <x:xf numFmtId="0" fontId="10" fillId="12" borderId="9" xfId="0" applyNumberFormat="1" applyFont="1" applyFill="1" applyBorder="1" applyAlignment="1">
      <x:alignment vertical="top" wrapText="1"/>
    </x:xf>
    <x:xf numFmtId="0" fontId="9" fillId="11" borderId="4" xfId="0" applyNumberFormat="1" applyFont="1" applyFill="1" applyBorder="1" applyAlignment="1">
      <x:alignment horizontal="center"/>
    </x:xf>
    <x:xf numFmtId="0" fontId="10" fillId="12" borderId="10" xfId="0" applyNumberFormat="1" applyFont="1" applyFill="1" applyBorder="1" applyAlignment="1">
      <x:alignment vertical="top" wrapText="1"/>
    </x:xf>
    <x:xf numFmtId="0" fontId="10" fillId="12" borderId="5" xfId="0" applyNumberFormat="1" applyFont="1" applyFill="1" applyBorder="1" applyAlignment="1">
      <x:alignment vertical="top" wrapText="1"/>
    </x:xf>
    <x:xf numFmtId="0" fontId="10" fillId="12" borderId="2" xfId="0" applyNumberFormat="1" applyFont="1" applyFill="1" applyBorder="1" applyAlignment="1">
      <x:alignment vertical="top" wrapText="1"/>
    </x:xf>
    <x:xf numFmtId="0" fontId="10" fillId="12" borderId="7" xfId="0" applyNumberFormat="1" applyFont="1" applyFill="1" applyBorder="1" applyAlignment="1">
      <x:alignment vertical="top" wrapText="1"/>
    </x:xf>
    <x:xf numFmtId="0" fontId="10" fillId="12" borderId="4" xfId="0" applyNumberFormat="1" applyFont="1" applyFill="1" applyBorder="1" applyAlignment="1">
      <x:alignment vertical="top" wrapText="1"/>
    </x:xf>
    <x:xf numFmtId="0" fontId="10" fillId="11" borderId="2" xfId="0" applyNumberFormat="1" applyFont="1" applyFill="1" applyBorder="1" applyAlignment="1">
      <x:alignment vertical="top" wrapText="1"/>
    </x:xf>
    <x:xf numFmtId="0" fontId="10" fillId="11" borderId="7" xfId="0" applyNumberFormat="1" applyFont="1" applyFill="1" applyBorder="1" applyAlignment="1">
      <x:alignment vertical="top" wrapText="1"/>
    </x:xf>
    <x:xf numFmtId="0" fontId="10" fillId="11" borderId="4" xfId="0" applyNumberFormat="1" applyFont="1" applyFill="1" applyBorder="1" applyAlignment="1">
      <x:alignment vertical="top" wrapText="1"/>
    </x:xf>
    <x:xf numFmtId="0" fontId="11" fillId="11" borderId="2" xfId="0" applyNumberFormat="1" applyFont="1" applyFill="1" applyBorder="1" applyAlignment="1">
      <x:alignment vertical="top" wrapText="1"/>
    </x:xf>
    <x:xf numFmtId="0" fontId="11" fillId="11" borderId="7" xfId="0" applyNumberFormat="1" applyFont="1" applyFill="1" applyBorder="1" applyAlignment="1">
      <x:alignment vertical="top" wrapText="1"/>
    </x:xf>
    <x:xf numFmtId="0" fontId="11" fillId="11" borderId="4"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9" xfId="0" applyNumberFormat="1" applyFont="1" applyFill="1" applyBorder="1" applyAlignment="1">
      <x:alignment vertical="top" wrapText="1"/>
    </x:xf>
    <x:xf numFmtId="0" fontId="10" fillId="9" borderId="5" xfId="0" applyNumberFormat="1" applyFont="1" applyFill="1" applyBorder="1" applyAlignment="1">
      <x:alignment vertical="top" wrapText="1"/>
    </x:xf>
    <x:xf numFmtId="0" fontId="6" fillId="9" borderId="3" xfId="0" applyNumberFormat="1" applyFont="1" applyFill="1" applyBorder="1" applyAlignment="1">
      <x:alignment vertical="top" wrapText="1"/>
    </x:xf>
    <x:xf numFmtId="0" fontId="6" fillId="9" borderId="9" xfId="0" applyNumberFormat="1" applyFont="1" applyFill="1" applyBorder="1" applyAlignment="1">
      <x:alignment vertical="top" wrapText="1"/>
    </x:xf>
    <x:xf numFmtId="0" fontId="6" fillId="9" borderId="5" xfId="0" applyNumberFormat="1" applyFont="1" applyFill="1" applyBorder="1" applyAlignment="1">
      <x:alignment vertical="top" wrapText="1"/>
    </x:xf>
    <x:xf numFmtId="0" fontId="6" fillId="9" borderId="3" xfId="0" applyNumberFormat="1" applyFont="1" applyFill="1" applyBorder="1" applyAlignment="1">
      <x:alignment horizontal="center" vertical="top" wrapText="1"/>
    </x:xf>
    <x:xf numFmtId="0" fontId="6" fillId="9" borderId="9" xfId="0" applyNumberFormat="1" applyFont="1" applyFill="1" applyBorder="1" applyAlignment="1">
      <x:alignment horizontal="center" vertical="top" wrapText="1"/>
    </x:xf>
    <x:xf numFmtId="0" fontId="6" fillId="9" borderId="5" xfId="0" applyNumberFormat="1" applyFont="1" applyFill="1" applyBorder="1" applyAlignment="1">
      <x:alignment horizontal="center" vertical="top" wrapText="1"/>
    </x:xf>
    <x:xf numFmtId="0" fontId="4" fillId="7" borderId="7" xfId="0" applyNumberFormat="1" applyFont="1" applyFill="1" applyBorder="1" applyAlignment="1">
      <x:alignment horizontal="center" vertical="center" wrapText="1"/>
    </x:xf>
    <x:xf numFmtId="0" fontId="4" fillId="7" borderId="9" xfId="0" applyNumberFormat="1" applyFont="1" applyFill="1" applyBorder="1" applyAlignment="1">
      <x:alignment horizontal="center" vertical="center" wrapText="1"/>
    </x:xf>
    <x:xf numFmtId="0" fontId="5" fillId="8" borderId="7" xfId="0" applyNumberFormat="1" applyFont="1" applyFill="1" applyBorder="1" applyAlignment="1">
      <x:alignment horizontal="center" vertical="center" wrapText="1"/>
    </x:xf>
    <x:xf numFmtId="0" fontId="5" fillId="8" borderId="9" xfId="0" applyNumberFormat="1" applyFont="1" applyFill="1" applyBorder="1" applyAlignment="1">
      <x:alignment horizontal="center" vertical="center" wrapText="1"/>
    </x:xf>
    <x:xf numFmtId="0" fontId="12" fillId="0" borderId="0" xfId="0" applyNumberFormat="1" applyFont="1" applyFill="1" applyBorder="1"/>
    <x:xf numFmtId="0" fontId="12" fillId="0" borderId="0" xfId="0" applyNumberFormat="1" applyFont="1" applyFill="1" applyBorder="1" applyAlignment="1">
      <x:alignment horizontal="center"/>
    </x:xf>
    <x:xf numFmtId="0" fontId="12" fillId="0" borderId="0" xfId="0" applyNumberFormat="1" applyFont="1" applyFill="1" applyBorder="1" applyAlignment="1">
      <x:alignment horizontal="center" vertical="center"/>
    </x:xf>
    <x:xf numFmtId="0" fontId="3" fillId="6" borderId="2" xfId="0" applyNumberFormat="1" applyFont="1" applyFill="1" applyBorder="1" applyAlignment="1">
      <x:alignment horizontal="center" vertical="center"/>
    </x:xf>
    <x:xf numFmtId="0" fontId="3" fillId="6" borderId="6" xfId="0" applyNumberFormat="1" applyFont="1" applyFill="1" applyBorder="1" applyAlignment="1">
      <x:alignment horizontal="center" vertical="center"/>
    </x:xf>
    <x:xf numFmtId="0" fontId="3" fillId="6" borderId="3" xfId="0" applyNumberFormat="1" applyFont="1" applyFill="1" applyBorder="1" applyAlignment="1">
      <x:alignment horizontal="center" vertical="center"/>
    </x:xf>
    <x:xf numFmtId="0" fontId="0" fillId="6" borderId="0" xfId="0" applyNumberFormat="1" applyFont="1" applyFill="1" applyBorder="1" applyAlignment="1">
      <x:alignment vertical="top"/>
    </x:xf>
    <x:xf numFmtId="0" fontId="3" fillId="6" borderId="0" xfId="0" applyNumberFormat="1" applyFont="1" applyFill="1" applyBorder="1" applyAlignment="1">
      <x:alignment vertical="top"/>
    </x:xf>
    <x:xf numFmtId="0" fontId="3" fillId="6" borderId="0" xfId="0" applyNumberFormat="1" applyFont="1" applyFill="1" applyBorder="1" applyAlignment="1">
      <x:alignment horizontal="center" vertical="top"/>
    </x:xf>
    <x:xf numFmtId="0" fontId="0" fillId="11" borderId="0" xfId="0" applyNumberFormat="1" applyFont="1" applyFill="1" applyBorder="1" applyAlignment="1">
      <x:alignment vertical="top"/>
    </x:xf>
    <x:xf numFmtId="0" fontId="11" fillId="11" borderId="0" xfId="0" applyNumberFormat="1" applyFont="1" applyFill="1" applyBorder="1" applyAlignment="1">
      <x:alignment vertical="top"/>
    </x:xf>
    <x:xf numFmtId="0" fontId="11" fillId="11" borderId="0" xfId="0" applyNumberFormat="1" applyFont="1" applyFill="1" applyBorder="1" applyAlignment="1">
      <x:alignment vertical="top" wrapText="1"/>
    </x:xf>
    <x:xf numFmtId="0" fontId="0" fillId="12" borderId="0" xfId="0" applyNumberFormat="1" applyFont="1" applyFill="1" applyBorder="1" applyAlignment="1">
      <x:alignment vertical="top"/>
    </x:xf>
    <x:xf numFmtId="0" fontId="10" fillId="12" borderId="0"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3" xfId="0" applyNumberFormat="1" applyFont="1" applyFill="1" applyBorder="1" applyAlignment="1">
      <x:alignment vertical="top"/>
    </x:xf>
    <x:xf numFmtId="0" fontId="1" fillId="13" borderId="0" xfId="0" applyNumberFormat="1" applyFont="1" applyFill="1" applyBorder="1" applyAlignment="1">
      <x:alignment horizontal="left" vertical="top"/>
    </x:xf>
    <x:xf numFmtId="0" fontId="13" fillId="13" borderId="0" xfId="0" applyNumberFormat="1" applyFont="1" applyFill="1" applyBorder="1" applyAlignment="1">
      <x:alignment horizontal="left" vertical="top"/>
    </x:xf>
    <x:xf numFmtId="0" fontId="13" fillId="13" borderId="0" xfId="0" applyNumberFormat="1" applyFont="1" applyFill="1" applyBorder="1" applyAlignment="1">
      <x:alignment horizontal="center" vertical="top"/>
    </x:xf>
    <x:xf numFmtId="0" fontId="13" fillId="13" borderId="0" xfId="0" applyNumberFormat="1" applyFont="1" applyFill="1" applyBorder="1" applyAlignment="1">
      <x:alignment horizontal="center" vertical="center"/>
    </x:xf>
    <x:xf numFmtId="0" fontId="0" fillId="14" borderId="0" xfId="0" applyNumberFormat="1" applyFont="1" applyFill="1" applyBorder="1"/>
    <x:xf numFmtId="0" fontId="14" fillId="14" borderId="0" xfId="0" applyNumberFormat="1" applyFont="1" applyFill="1" applyBorder="1"/>
    <x:xf numFmtId="0" fontId="14" fillId="14" borderId="0" xfId="0" applyNumberFormat="1" applyFont="1" applyFill="1" applyBorder="1" applyAlignment="1">
      <x:alignment horizontal="center"/>
    </x:xf>
    <x:xf numFmtId="0" fontId="14" fillId="14" borderId="0" xfId="0" applyNumberFormat="1" applyFont="1" applyFill="1" applyBorder="1" applyAlignment="1">
      <x:alignment horizontal="center" vertical="center"/>
    </x:xf>
    <x:xf numFmtId="0" fontId="13" fillId="13" borderId="0" xfId="0" applyNumberFormat="1" applyFont="1" applyFill="1" applyBorder="1" applyAlignment="1">
      <x:alignment horizontal="center" vertical="center" wrapText="1"/>
    </x:xf>
    <x:xf numFmtId="0" fontId="0" fillId="13" borderId="0" xfId="0" applyNumberFormat="1" applyFont="1" applyFill="1" applyBorder="1"/>
    <x:xf numFmtId="0" fontId="13" fillId="13" borderId="0" xfId="0" applyNumberFormat="1" applyFont="1" applyFill="1" applyBorder="1"/>
    <x:xf numFmtId="0" fontId="13" fillId="13" borderId="0" xfId="0" applyNumberFormat="1" applyFont="1" applyFill="1" applyBorder="1" applyAlignment="1">
      <x:alignment horizontal="center"/>
    </x:xf>
    <x:xf numFmtId="0" fontId="0" fillId="15" borderId="0" xfId="0" applyNumberFormat="1" applyFont="1" applyFill="1" applyBorder="1"/>
    <x:xf numFmtId="0" fontId="15" fillId="15" borderId="0" xfId="0" applyNumberFormat="1" applyFont="1" applyFill="1" applyBorder="1"/>
    <x:xf numFmtId="0" fontId="15" fillId="15" borderId="0" xfId="0" applyNumberFormat="1" applyFont="1" applyFill="1" applyBorder="1" applyAlignment="1">
      <x:alignment horizontal="left"/>
    </x:xf>
    <x:xf numFmtId="0" fontId="15" fillId="15" borderId="0" xfId="0" applyNumberFormat="1" applyFont="1" applyFill="1" applyBorder="1" applyAlignment="1">
      <x:alignment horizontal="left" vertical="center"/>
    </x:xf>
    <x:xf numFmtId="0" fontId="14" fillId="14" borderId="0" xfId="0" applyNumberFormat="1" applyFont="1" applyFill="1" applyBorder="1" applyAlignment="1">
      <x:alignment wrapText="1"/>
    </x:xf>
    <x:xf numFmtId="0" fontId="0" fillId="16" borderId="0" xfId="0" applyNumberFormat="1" applyFont="1" applyFill="1" applyBorder="1"/>
    <x:xf numFmtId="0" fontId="16" fillId="16" borderId="0" xfId="0" applyNumberFormat="1" applyFont="1" applyFill="1" applyBorder="1"/>
    <x:xf numFmtId="0" fontId="16" fillId="16" borderId="0" xfId="0" applyNumberFormat="1" applyFont="1" applyFill="1" applyBorder="1" applyAlignment="1">
      <x:alignment horizontal="center"/>
    </x:xf>
    <x:xf numFmtId="0" fontId="16" fillId="16" borderId="0" xfId="0" applyNumberFormat="1" applyFont="1" applyFill="1" applyBorder="1" applyAlignment="1">
      <x:alignment horizontal="center" vertical="center"/>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horizontal="left"/>
    </x:xf>
    <x:xf numFmtId="0" fontId="3" fillId="17" borderId="0" xfId="0" applyNumberFormat="1" applyFont="1" applyFill="1" applyBorder="1" applyAlignment="1">
      <x:alignment horizontal="left" vertical="center"/>
    </x:xf>
    <x:xf numFmtId="0" fontId="0" fillId="18" borderId="0" xfId="0" applyNumberFormat="1" applyFont="1" applyFill="1" applyBorder="1"/>
    <x:xf numFmtId="0" fontId="17" fillId="18" borderId="0" xfId="0" applyNumberFormat="1" applyFont="1" applyFill="1" applyBorder="1"/>
    <x:xf numFmtId="0" fontId="17" fillId="18" borderId="0" xfId="0" applyNumberFormat="1" applyFont="1" applyFill="1" applyBorder="1" applyAlignment="1">
      <x:alignment wrapText="1"/>
    </x:xf>
    <x:xf numFmtId="0" fontId="17" fillId="18" borderId="0" xfId="0" applyNumberFormat="1" applyFont="1" applyFill="1" applyBorder="1" applyAlignment="1">
      <x:alignment horizontal="center" wrapText="1"/>
    </x:xf>
    <x:xf numFmtId="0" fontId="17" fillId="18" borderId="0" xfId="0" applyNumberFormat="1" applyFont="1" applyFill="1" applyBorder="1" applyAlignment="1">
      <x:alignment horizontal="center" vertical="center" wrapText="1"/>
    </x:xf>
    <x:xf numFmtId="0" fontId="0" fillId="19" borderId="0" xfId="0" applyNumberFormat="1" applyFont="1" applyFill="1" applyBorder="1"/>
    <x:xf numFmtId="0" fontId="18" fillId="19" borderId="0" xfId="0" applyNumberFormat="1" applyFont="1" applyFill="1" applyBorder="1"/>
    <x:xf numFmtId="0" fontId="18" fillId="19" borderId="0" xfId="0" applyNumberFormat="1" applyFont="1" applyFill="1" applyBorder="1" applyAlignment="1">
      <x:alignment wrapText="1"/>
    </x:xf>
    <x:xf numFmtId="0" fontId="18" fillId="19" borderId="0" xfId="0" applyNumberFormat="1" applyFont="1" applyFill="1" applyBorder="1" applyAlignment="1">
      <x:alignment vertical="top" wrapText="1"/>
    </x:xf>
    <x:xf numFmtId="0" fontId="0" fillId="20" borderId="0" xfId="0" applyNumberFormat="1" applyFont="1" applyFill="1" applyBorder="1" applyAlignment="1">
      <x:alignment vertical="top" wrapText="1"/>
    </x:xf>
    <x:xf numFmtId="0" fontId="9" fillId="20" borderId="0" xfId="0" applyNumberFormat="1" applyFont="1" applyFill="1" applyBorder="1" applyAlignment="1">
      <x:alignment vertical="top" wrapText="1"/>
    </x:xf>
    <x:xf numFmtId="0" fontId="1" fillId="16" borderId="0" xfId="0" applyNumberFormat="1" applyFont="1" applyFill="1" applyBorder="1" applyAlignment="1">
      <x:alignment horizontal="left" vertical="top"/>
    </x:xf>
    <x:xf numFmtId="0" fontId="0" fillId="16" borderId="0" xfId="0" applyNumberFormat="1" applyFont="1" applyFill="1" applyBorder="1" applyAlignment="1">
      <x:alignment vertical="top"/>
    </x:xf>
    <x:xf numFmtId="0" fontId="16" fillId="16" borderId="0" xfId="0" applyNumberFormat="1" applyFont="1" applyFill="1" applyBorder="1" applyAlignment="1">
      <x:alignment horizontal="left" vertical="top"/>
    </x:xf>
    <x:xf numFmtId="0" fontId="16" fillId="16" borderId="0" xfId="0" applyNumberFormat="1" applyFont="1" applyFill="1" applyBorder="1" applyAlignment="1">
      <x:alignment vertical="top"/>
    </x:xf>
    <x:xf numFmtId="0" fontId="16" fillId="16" borderId="0" xfId="0" applyNumberFormat="1" applyFont="1" applyFill="1" applyBorder="1" applyAlignment="1">
      <x:alignment horizontal="center" vertical="top"/>
    </x:xf>
    <x:xf numFmtId="0" fontId="3" fillId="18" borderId="0" xfId="0" applyNumberFormat="1" applyFont="1" applyFill="1" applyBorder="1" applyAlignment="1">
      <x:alignment horizontal="center" vertical="top" wrapText="1"/>
    </x:xf>
    <x:xf numFmtId="0" fontId="17" fillId="18" borderId="0" xfId="0" applyNumberFormat="1" applyFont="1" applyFill="1" applyBorder="1" applyAlignment="1">
      <x:alignment horizontal="center" vertical="top" wrapText="1"/>
    </x:xf>
    <x:xf numFmtId="0" fontId="0" fillId="17" borderId="0" xfId="0" applyNumberFormat="1" applyFont="1" applyFill="1" applyBorder="1" applyAlignment="1">
      <x:alignment vertical="top" wrapText="1"/>
    </x:xf>
    <x:xf numFmtId="0" fontId="3" fillId="17" borderId="0" xfId="0" applyNumberFormat="1" applyFont="1" applyFill="1" applyBorder="1" applyAlignment="1">
      <x:alignment vertical="top" wrapText="1"/>
    </x:xf>
    <x:xf numFmtId="0" fontId="3" fillId="17" borderId="0" xfId="0" applyNumberFormat="1" applyFont="1" applyFill="1" applyBorder="1" applyAlignment="1">
      <x:alignment horizontal="left" vertical="top" wrapText="1"/>
    </x:xf>
    <x:xf numFmtId="0" fontId="3" fillId="17" borderId="0" xfId="0" applyNumberFormat="1" applyFont="1" applyFill="1" applyBorder="1" applyAlignment="1">
      <x:alignment horizontal="left" vertical="center" wrapText="1"/>
    </x:xf>
    <x:xf numFmtId="0" fontId="13" fillId="13" borderId="0" xfId="0" applyNumberFormat="1" applyFont="1" applyFill="1" applyBorder="1" applyAlignment="1">
      <x:alignment horizontal="center" vertical="top" wrapText="1"/>
    </x:xf>
    <x:xf numFmtId="0" fontId="14" fillId="14" borderId="0" xfId="0" applyNumberFormat="1" applyFont="1" applyFill="1" applyBorder="1" applyAlignment="1">
      <x:alignment vertical="top" wrapText="1"/>
    </x:xf>
    <x:xf numFmtId="0" fontId="13" fillId="20" borderId="0" xfId="0" applyNumberFormat="1" applyFont="1" applyFill="1" applyBorder="1" applyAlignment="1">
      <x:alignment horizontal="center" vertical="top" wrapText="1"/>
    </x:xf>
    <x:xf numFmtId="0" fontId="14" fillId="20" borderId="0" xfId="0" applyNumberFormat="1" applyFont="1" applyFill="1" applyBorder="1" applyAlignment="1">
      <x:alignment vertical="top" wrapText="1"/>
    </x:xf>
    <x:xf numFmtId="0" fontId="0" fillId="17" borderId="0" xfId="0" applyNumberFormat="1" applyFont="1" applyFill="1" applyBorder="1" applyAlignment="1">
      <x:alignment vertical="top"/>
    </x:xf>
    <x:xf numFmtId="0" fontId="3" fillId="17" borderId="0" xfId="0" applyNumberFormat="1" applyFont="1" applyFill="1" applyBorder="1" applyAlignment="1">
      <x:alignment vertical="top"/>
    </x:xf>
    <x:xf numFmtId="0" fontId="3" fillId="17" borderId="0" xfId="0" applyNumberFormat="1" applyFont="1" applyFill="1" applyBorder="1" applyAlignment="1">
      <x:alignment horizontal="left" vertical="top"/>
    </x:xf>
    <x:xf numFmtId="0" fontId="0" fillId="18" borderId="0" xfId="0" applyNumberFormat="1" applyFont="1" applyFill="1" applyBorder="1" applyAlignment="1">
      <x:alignment vertical="top"/>
    </x:xf>
    <x:xf numFmtId="0" fontId="17" fillId="18" borderId="0" xfId="0" applyNumberFormat="1" applyFont="1" applyFill="1" applyBorder="1" applyAlignment="1">
      <x:alignment vertical="top"/>
    </x:xf>
    <x:xf numFmtId="0" fontId="17" fillId="18" borderId="0" xfId="0" applyNumberFormat="1" applyFont="1" applyFill="1" applyBorder="1" applyAlignment="1">
      <x:alignment vertical="top" wrapText="1"/>
    </x:xf>
    <x:xf numFmtId="0" fontId="16" fillId="16" borderId="0" xfId="0" applyNumberFormat="1" applyFont="1" applyFill="1" applyBorder="1" applyAlignment="1">
      <x:alignment horizontal="center" vertical="center" wrapText="1"/>
    </x:xf>
    <x:xf numFmtId="0" fontId="16" fillId="16" borderId="0" xfId="0" applyNumberFormat="1" applyFont="1" applyFill="1" applyBorder="1" applyAlignment="1">
      <x:alignment horizontal="center" vertical="top" wrapText="1"/>
    </x:xf>
    <x:xf numFmtId="0" fontId="1" fillId="2" borderId="0" xfId="0" applyNumberFormat="1" applyFont="1" applyFill="1" applyBorder="1" applyAlignment="1">
      <x:alignment horizontal="lef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63410df08b4011" /><Relationship Type="http://schemas.openxmlformats.org/officeDocument/2006/relationships/theme" Target="/xl/theme/theme1.xml" Id="R3fd4e23fc8914870" /><Relationship Type="http://schemas.openxmlformats.org/officeDocument/2006/relationships/sharedStrings" Target="/xl/sharedStrings.xml" Id="R9d6c0b35dd824e0a" /><Relationship Type="http://schemas.openxmlformats.org/officeDocument/2006/relationships/worksheet" Target="/xl/worksheets/sheet1.xml" Id="R8baa3bf1593a47a1" /><Relationship Type="http://schemas.openxmlformats.org/officeDocument/2006/relationships/worksheet" Target="/xl/worksheets/sheet2.xml" Id="R6264b6f1faa84444" /><Relationship Type="http://schemas.openxmlformats.org/officeDocument/2006/relationships/worksheet" Target="/xl/worksheets/sheet3.xml" Id="R622fb64cb9b54a66" /><Relationship Type="http://schemas.openxmlformats.org/officeDocument/2006/relationships/worksheet" Target="/xl/worksheets/sheet4.xml" Id="R62dab6e577e84833" /><Relationship Type="http://schemas.openxmlformats.org/officeDocument/2006/relationships/worksheet" Target="/xl/worksheets/sheet5.xml" Id="Rd0d5defbebab41d9" /><Relationship Type="http://schemas.openxmlformats.org/officeDocument/2006/relationships/worksheet" Target="/xl/worksheets/sheet6.xml" Id="R164274b6cd7548c0" /><Relationship Type="http://schemas.openxmlformats.org/officeDocument/2006/relationships/worksheet" Target="/xl/worksheets/sheet7.xml" Id="R0f56cc17ffd345ed" /><Relationship Type="http://schemas.openxmlformats.org/officeDocument/2006/relationships/worksheet" Target="/xl/worksheets/sheet8.xml" Id="Rc40baf3e48344aa8" /><Relationship Type="http://schemas.openxmlformats.org/officeDocument/2006/relationships/worksheet" Target="/xl/worksheets/sheet9.xml" Id="Rf8aff63ea655451d" /><Relationship Type="http://schemas.openxmlformats.org/officeDocument/2006/relationships/worksheet" Target="/xl/worksheets/sheet10.xml" Id="R06c5f9b83ea84eb9" /><Relationship Type="http://schemas.openxmlformats.org/officeDocument/2006/relationships/worksheet" Target="/xl/worksheets/sheet11.xml" Id="R367eaa61acb541d0" /><Relationship Type="http://schemas.openxmlformats.org/officeDocument/2006/relationships/worksheet" Target="/xl/worksheets/sheet12.xml" Id="R5b974421afec4061" /><Relationship Type="http://schemas.openxmlformats.org/officeDocument/2006/relationships/worksheet" Target="/xl/worksheets/sheet13.xml" Id="R73742f5c22814329" /><Relationship Type="http://schemas.openxmlformats.org/officeDocument/2006/relationships/worksheet" Target="/xl/worksheets/sheet14.xml" Id="R1514e3ef031f4876" /><Relationship Type="http://schemas.openxmlformats.org/officeDocument/2006/relationships/worksheet" Target="/xl/worksheets/sheet15.xml" Id="R6a5d963db1824608" /><Relationship Type="http://schemas.openxmlformats.org/officeDocument/2006/relationships/worksheet" Target="/xl/worksheets/sheet16.xml" Id="Re31dda83392041d5" /><Relationship Type="http://schemas.openxmlformats.org/officeDocument/2006/relationships/worksheet" Target="/xl/worksheets/sheet17.xml" Id="Rb3eb358f2d7946bd" /><Relationship Type="http://schemas.openxmlformats.org/officeDocument/2006/relationships/worksheet" Target="/xl/worksheets/sheet18.xml" Id="Ra2a5ca59e80b486d" /><Relationship Type="http://schemas.openxmlformats.org/officeDocument/2006/relationships/worksheet" Target="/xl/worksheets/sheet19.xml" Id="Rfc166ada93bf4091" /><Relationship Type="http://schemas.openxmlformats.org/officeDocument/2006/relationships/worksheet" Target="/xl/worksheets/sheet20.xml" Id="Rf510ef9cc1744269" /></Relationships>
</file>

<file path=xl/drawings/_rels/drawing1.xml.rels>&#65279;<?xml version="1.0" encoding="utf-8"?><Relationships xmlns="http://schemas.openxmlformats.org/package/2006/relationships"><Relationship Type="http://schemas.openxmlformats.org/officeDocument/2006/relationships/image" Target="/xl/media/image.png" Id="R13578be0e4b94f0d" /></Relationships>
</file>

<file path=xl/drawings/_rels/drawing2.xml.rels>&#65279;<?xml version="1.0" encoding="utf-8"?><Relationships xmlns="http://schemas.openxmlformats.org/package/2006/relationships"><Relationship Type="http://schemas.openxmlformats.org/officeDocument/2006/relationships/image" Target="/xl/media/image2.png" Id="R63beefe0bd744b06" /></Relationships>
</file>

<file path=xl/drawings/drawing1.xml><?xml version="1.0" encoding="utf-8"?>
<xdr:wsDr xmlns:xdr="http://schemas.openxmlformats.org/drawingml/2006/spreadsheetDrawing">
  <xdr:oneCellAnchor>
    <xdr:from>
      <xdr:col>0</xdr:col>
      <xdr:colOff>0</xdr:colOff>
      <xdr:row>3</xdr:row>
      <xdr:rowOff>0</xdr:rowOff>
    </xdr:from>
    <xdr:ext cx="12573000" cy="83820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13578be0e4b94f0d"/>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3</xdr:row>
      <xdr:rowOff>0</xdr:rowOff>
    </xdr:from>
    <xdr:ext cx="12573000" cy="8382000"/>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63beefe0bd744b06"/>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6.xml.rels>&#65279;<?xml version="1.0" encoding="utf-8"?><Relationships xmlns="http://schemas.openxmlformats.org/package/2006/relationships"><Relationship Type="http://schemas.openxmlformats.org/officeDocument/2006/relationships/drawing" Target="/xl/drawings/drawing1.xml" Id="Rd44ba7b9f6c04493" /></Relationships>
</file>

<file path=xl/worksheets/_rels/sheet17.xml.rels>&#65279;<?xml version="1.0" encoding="utf-8"?><Relationships xmlns="http://schemas.openxmlformats.org/package/2006/relationships"><Relationship Type="http://schemas.openxmlformats.org/officeDocument/2006/relationships/drawing" Target="/xl/drawings/drawing2.xml" Id="Rf4909f2c8c804e20" /></Relationships>
</file>

<file path=xl/worksheets/sheet1.xml><?xml version="1.0" encoding="utf-8"?>
<x:worksheet xmlns:x="http://schemas.openxmlformats.org/spreadsheetml/2006/main">
  <x:sheetFormatPr defaultRowHeight="15"/>
  <x:cols>
    <x:col min="1" max="1" width="20" hidden="0" customWidth="1"/>
    <x:col min="2" max="2" width="42" hidden="0" customWidth="1"/>
    <x:col min="3" max="3" width="42" hidden="0" customWidth="1"/>
    <x:col min="4" max="4" width="16" hidden="0" customWidth="1"/>
    <x:col min="5" max="5" width="14" hidden="0" customWidth="1"/>
    <x:col min="6" max="6" width="14" hidden="0" customWidth="1"/>
    <x:col min="7" max="7" width="22" hidden="0" customWidth="1"/>
    <x:col min="8" max="8" width="30" hidden="0" customWidth="1"/>
  </x:cols>
  <x:sheetData>
    <x:row r="1">
      <x:c r="A1" s="221" t="str">
        <x:v>MANET Emergency Messaging Prototype - Dashboard</x:v>
      </x:c>
      <x:c r="B1" s="43"/>
      <x:c r="C1" s="43"/>
      <x:c r="D1" s="43"/>
      <x:c r="E1" s="43"/>
      <x:c r="F1" s="43"/>
      <x:c r="G1" s="43"/>
      <x:c r="H1" s="43"/>
      <x:c r="I1" s="43"/>
      <x:c r="J1" s="43"/>
      <x:c r="K1" s="43"/>
      <x:c r="L1" s="39"/>
      <x:c r="M1" s="39"/>
      <x:c r="N1" s="39"/>
      <x:c r="O1" s="39"/>
      <x:c r="P1" s="39"/>
      <x:c r="Q1" s="39"/>
      <x:c r="R1" s="39"/>
      <x:c r="S1" s="39"/>
      <x:c r="T1" s="39"/>
      <x:c r="U1" s="39"/>
      <x:c r="V1" s="39"/>
      <x:c r="W1" s="39"/>
      <x:c r="X1" s="39"/>
      <x:c r="Y1" s="39"/>
      <x:c r="Z1" s="39"/>
    </x:row>
    <x:row r="2">
      <x:c r="A2" s="43"/>
      <x:c r="B2" s="43"/>
      <x:c r="C2" s="43"/>
      <x:c r="D2" s="43"/>
      <x:c r="E2" s="43"/>
      <x:c r="F2" s="43"/>
      <x:c r="G2" s="43"/>
      <x:c r="H2" s="43"/>
      <x:c r="I2" s="43"/>
      <x:c r="J2" s="43"/>
      <x:c r="K2" s="43"/>
      <x:c r="L2" s="39"/>
      <x:c r="M2" s="39"/>
      <x:c r="N2" s="39"/>
      <x:c r="O2" s="39"/>
      <x:c r="P2" s="39"/>
      <x:c r="Q2" s="39"/>
      <x:c r="R2" s="39"/>
      <x:c r="S2" s="39"/>
      <x:c r="T2" s="39"/>
      <x:c r="U2" s="39"/>
      <x:c r="V2" s="39"/>
      <x:c r="W2" s="39"/>
      <x:c r="X2" s="39"/>
      <x:c r="Y2" s="39"/>
      <x:c r="Z2" s="39"/>
    </x:row>
    <x:row r="3">
      <x:c r="A3" s="40" t="str">
        <x:v>Total Steps</x:v>
      </x:c>
      <x:c r="B3" s="43" t="n">
        <x:f>COUNTA('Detailed Steps'!A2:A200)</x:f>
        <x:v>36</x:v>
      </x:c>
      <x:c r="C3" s="43"/>
      <x:c r="D3" s="43"/>
      <x:c r="E3" s="43"/>
      <x:c r="F3" s="43"/>
      <x:c r="G3" s="43"/>
      <x:c r="H3" s="43"/>
      <x:c r="I3" s="43"/>
      <x:c r="J3" s="43"/>
      <x:c r="K3" s="43"/>
      <x:c r="L3" s="39"/>
      <x:c r="M3" s="39"/>
      <x:c r="N3" s="39"/>
      <x:c r="O3" s="39"/>
      <x:c r="P3" s="39"/>
      <x:c r="Q3" s="39"/>
      <x:c r="R3" s="39"/>
      <x:c r="S3" s="39"/>
      <x:c r="T3" s="39"/>
      <x:c r="U3" s="39"/>
      <x:c r="V3" s="39"/>
      <x:c r="W3" s="39"/>
      <x:c r="X3" s="39"/>
      <x:c r="Y3" s="39"/>
      <x:c r="Z3" s="39"/>
    </x:row>
    <x:row r="4">
      <x:c r="A4" s="40" t="str">
        <x:v>Done</x:v>
      </x:c>
      <x:c r="B4" s="43" t="n">
        <x:f>COUNTIF('Detailed Steps'!F2:F200,"Done")</x:f>
        <x:v>0</x:v>
      </x:c>
      <x:c r="C4" s="43"/>
      <x:c r="D4" s="43"/>
      <x:c r="E4" s="43"/>
      <x:c r="F4" s="43"/>
      <x:c r="G4" s="43"/>
      <x:c r="H4" s="43"/>
      <x:c r="I4" s="43"/>
      <x:c r="J4" s="43"/>
      <x:c r="K4" s="43"/>
      <x:c r="L4" s="39"/>
      <x:c r="M4" s="39"/>
      <x:c r="N4" s="39"/>
      <x:c r="O4" s="39"/>
      <x:c r="P4" s="39"/>
      <x:c r="Q4" s="39"/>
      <x:c r="R4" s="39"/>
      <x:c r="S4" s="39"/>
      <x:c r="T4" s="39"/>
      <x:c r="U4" s="39"/>
      <x:c r="V4" s="39"/>
      <x:c r="W4" s="39"/>
      <x:c r="X4" s="39"/>
      <x:c r="Y4" s="39"/>
      <x:c r="Z4" s="39"/>
    </x:row>
    <x:row r="5">
      <x:c r="A5" s="40" t="str">
        <x:v>In Progress</x:v>
      </x:c>
      <x:c r="B5" s="43" t="n">
        <x:f>COUNTIF('Detailed Steps'!F2:F200,"In Progress")</x:f>
        <x:v>1</x:v>
      </x:c>
      <x:c r="C5" s="43"/>
      <x:c r="D5" s="43"/>
      <x:c r="E5" s="43"/>
      <x:c r="F5" s="43"/>
      <x:c r="G5" s="43"/>
      <x:c r="H5" s="43"/>
      <x:c r="I5" s="43"/>
      <x:c r="J5" s="43"/>
      <x:c r="K5" s="43"/>
      <x:c r="L5" s="39"/>
      <x:c r="M5" s="39"/>
      <x:c r="N5" s="39"/>
      <x:c r="O5" s="39"/>
      <x:c r="P5" s="39"/>
      <x:c r="Q5" s="39"/>
      <x:c r="R5" s="39"/>
      <x:c r="S5" s="39"/>
      <x:c r="T5" s="39"/>
      <x:c r="U5" s="39"/>
      <x:c r="V5" s="39"/>
      <x:c r="W5" s="39"/>
      <x:c r="X5" s="39"/>
      <x:c r="Y5" s="39"/>
      <x:c r="Z5" s="39"/>
    </x:row>
    <x:row r="6">
      <x:c r="A6" s="40" t="str">
        <x:v>Blocked</x:v>
      </x:c>
      <x:c r="B6" s="43" t="n">
        <x:f>COUNTIF('Detailed Steps'!F2:F200,"Blocked")</x:f>
        <x:v>0</x:v>
      </x:c>
      <x:c r="C6" s="43"/>
      <x:c r="D6" s="43"/>
      <x:c r="E6" s="43"/>
      <x:c r="F6" s="43"/>
      <x:c r="G6" s="43"/>
      <x:c r="H6" s="43"/>
      <x:c r="I6" s="43"/>
      <x:c r="J6" s="43"/>
      <x:c r="K6" s="43"/>
      <x:c r="L6" s="39"/>
      <x:c r="M6" s="39"/>
      <x:c r="N6" s="39"/>
      <x:c r="O6" s="39"/>
      <x:c r="P6" s="39"/>
      <x:c r="Q6" s="39"/>
      <x:c r="R6" s="39"/>
      <x:c r="S6" s="39"/>
      <x:c r="T6" s="39"/>
      <x:c r="U6" s="39"/>
      <x:c r="V6" s="39"/>
      <x:c r="W6" s="39"/>
      <x:c r="X6" s="39"/>
      <x:c r="Y6" s="39"/>
      <x:c r="Z6" s="39"/>
    </x:row>
    <x:row r="7">
      <x:c r="A7" s="40" t="str">
        <x:v>Not Started</x:v>
      </x:c>
      <x:c r="B7" s="43" t="n">
        <x:f>COUNTIF('Detailed Steps'!F2:F200,"Not Started")</x:f>
        <x:v>34</x:v>
      </x:c>
      <x:c r="C7" s="43"/>
      <x:c r="D7" s="43"/>
      <x:c r="E7" s="43"/>
      <x:c r="F7" s="43"/>
      <x:c r="G7" s="43"/>
      <x:c r="H7" s="43"/>
      <x:c r="I7" s="43"/>
      <x:c r="J7" s="43"/>
      <x:c r="K7" s="43"/>
      <x:c r="L7" s="39"/>
      <x:c r="M7" s="39"/>
      <x:c r="N7" s="39"/>
      <x:c r="O7" s="39"/>
      <x:c r="P7" s="39"/>
      <x:c r="Q7" s="39"/>
      <x:c r="R7" s="39"/>
      <x:c r="S7" s="39"/>
      <x:c r="T7" s="39"/>
      <x:c r="U7" s="39"/>
      <x:c r="V7" s="39"/>
      <x:c r="W7" s="39"/>
      <x:c r="X7" s="39"/>
      <x:c r="Y7" s="39"/>
      <x:c r="Z7" s="39"/>
    </x:row>
    <x:row r="8">
      <x:c r="A8" s="40" t="str">
        <x:v>Completion</x:v>
      </x:c>
      <x:c r="B8" s="222" t="n">
        <x:f>IF(B3=0,0,B4/B3)</x:f>
        <x:v>0</x:v>
      </x:c>
      <x:c r="C8" s="43"/>
      <x:c r="D8" s="43"/>
      <x:c r="E8" s="43"/>
      <x:c r="F8" s="43"/>
      <x:c r="G8" s="43"/>
      <x:c r="H8" s="43"/>
      <x:c r="I8" s="43"/>
      <x:c r="J8" s="43"/>
      <x:c r="K8" s="43"/>
      <x:c r="L8" s="39"/>
      <x:c r="M8" s="39"/>
      <x:c r="N8" s="39"/>
      <x:c r="O8" s="39"/>
      <x:c r="P8" s="39"/>
      <x:c r="Q8" s="39"/>
      <x:c r="R8" s="39"/>
      <x:c r="S8" s="39"/>
      <x:c r="T8" s="39"/>
      <x:c r="U8" s="39"/>
      <x:c r="V8" s="39"/>
      <x:c r="W8" s="39"/>
      <x:c r="X8" s="39"/>
      <x:c r="Y8" s="39"/>
      <x:c r="Z8" s="39"/>
    </x:row>
    <x:row r="9">
      <x:c r="A9" s="40" t="str">
        <x:v>Current Stage</x:v>
      </x:c>
      <x:c r="B9" s="43" t="str">
        <x:f>IFERROR(INDEX('Detailed Steps'!B2:B200,MATCH("In Progress",'Detailed Steps'!F2:F200,0)),"Set first active step")</x:f>
        <x:v>0 Baseline</x:v>
      </x:c>
      <x:c r="C9" s="43"/>
      <x:c r="D9" s="43"/>
      <x:c r="E9" s="43"/>
      <x:c r="F9" s="43"/>
      <x:c r="G9" s="43"/>
      <x:c r="H9" s="43"/>
      <x:c r="I9" s="43"/>
      <x:c r="J9" s="43"/>
      <x:c r="K9" s="43"/>
      <x:c r="L9" s="39"/>
      <x:c r="M9" s="39"/>
      <x:c r="N9" s="39"/>
      <x:c r="O9" s="39"/>
      <x:c r="P9" s="39"/>
      <x:c r="Q9" s="39"/>
      <x:c r="R9" s="39"/>
      <x:c r="S9" s="39"/>
      <x:c r="T9" s="39"/>
      <x:c r="U9" s="39"/>
      <x:c r="V9" s="39"/>
      <x:c r="W9" s="39"/>
      <x:c r="X9" s="39"/>
      <x:c r="Y9" s="39"/>
      <x:c r="Z9" s="39"/>
    </x:row>
    <x:row r="10">
      <x:c r="A10" s="40" t="str">
        <x:v>Next Action</x:v>
      </x:c>
      <x:c r="B10" s="43" t="str">
        <x:f>IFERROR(INDEX('Detailed Steps'!D2:D200,MATCH("In Progress",'Detailed Steps'!F2:F200,0)),"Mark next step In Progress")</x:f>
        <x:v>Review workbook sheets and confirm architecture</x:v>
      </x:c>
      <x:c r="C10" s="43"/>
      <x:c r="D10" s="43"/>
      <x:c r="E10" s="43"/>
      <x:c r="F10" s="43"/>
      <x:c r="G10" s="43"/>
      <x:c r="H10" s="43"/>
      <x:c r="I10" s="43"/>
      <x:c r="J10" s="43"/>
      <x:c r="K10" s="43"/>
      <x:c r="L10" s="39"/>
      <x:c r="M10" s="39"/>
      <x:c r="N10" s="39"/>
      <x:c r="O10" s="39"/>
      <x:c r="P10" s="39"/>
      <x:c r="Q10" s="39"/>
      <x:c r="R10" s="39"/>
      <x:c r="S10" s="39"/>
      <x:c r="T10" s="39"/>
      <x:c r="U10" s="39"/>
      <x:c r="V10" s="39"/>
      <x:c r="W10" s="39"/>
      <x:c r="X10" s="39"/>
      <x:c r="Y10" s="39"/>
      <x:c r="Z10" s="39"/>
    </x:row>
    <x:row r="11">
      <x:c r="A11" s="43"/>
      <x:c r="B11" s="43"/>
      <x:c r="C11" s="43"/>
      <x:c r="D11" s="43"/>
      <x:c r="E11" s="43"/>
      <x:c r="F11" s="43"/>
      <x:c r="G11" s="43"/>
      <x:c r="H11" s="43"/>
      <x:c r="I11" s="43"/>
      <x:c r="J11" s="43"/>
      <x:c r="K11" s="43"/>
      <x:c r="L11" s="39"/>
      <x:c r="M11" s="39"/>
      <x:c r="N11" s="39"/>
      <x:c r="O11" s="39"/>
      <x:c r="P11" s="39"/>
      <x:c r="Q11" s="39"/>
      <x:c r="R11" s="39"/>
      <x:c r="S11" s="39"/>
      <x:c r="T11" s="39"/>
      <x:c r="U11" s="39"/>
      <x:c r="V11" s="39"/>
      <x:c r="W11" s="39"/>
      <x:c r="X11" s="39"/>
      <x:c r="Y11" s="39"/>
      <x:c r="Z11" s="39"/>
    </x:row>
    <x:row r="12">
      <x:c r="A12" s="40" t="str">
        <x:v>Recommended Current Architecture</x:v>
      </x:c>
      <x:c r="B12" s="43" t="str"/>
      <x:c r="C12" s="43" t="str"/>
      <x:c r="D12" s="43" t="str"/>
      <x:c r="E12" s="43" t="str"/>
      <x:c r="F12" s="43" t="str"/>
      <x:c r="G12" s="43" t="str"/>
      <x:c r="H12" s="43" t="str"/>
      <x:c r="I12" s="43"/>
      <x:c r="J12" s="43"/>
      <x:c r="K12" s="43"/>
      <x:c r="L12" s="39"/>
      <x:c r="M12" s="39"/>
      <x:c r="N12" s="39"/>
      <x:c r="O12" s="39"/>
      <x:c r="P12" s="39"/>
      <x:c r="Q12" s="39"/>
      <x:c r="R12" s="39"/>
      <x:c r="S12" s="39"/>
      <x:c r="T12" s="39"/>
      <x:c r="U12" s="39"/>
      <x:c r="V12" s="39"/>
      <x:c r="W12" s="39"/>
      <x:c r="X12" s="39"/>
      <x:c r="Y12" s="39"/>
      <x:c r="Z12" s="39"/>
    </x:row>
    <x:row r="13">
      <x:c r="A13" s="42" t="str">
        <x:v>Layer</x:v>
      </x:c>
      <x:c r="B13" s="42" t="str">
        <x:v>Recommended Implementation</x:v>
      </x:c>
      <x:c r="C13" s="42" t="str">
        <x:v>Reason</x:v>
      </x:c>
      <x:c r="D13" s="42" t="str">
        <x:v>Status</x:v>
      </x:c>
      <x:c r="E13" s="42" t="str">
        <x:v>Owner</x:v>
      </x:c>
      <x:c r="F13" s="42" t="str">
        <x:v>Date</x:v>
      </x:c>
      <x:c r="G13" s="42" t="str">
        <x:v>Evidence</x:v>
      </x:c>
      <x:c r="H13" s="42" t="str">
        <x:v>Notes</x:v>
      </x:c>
      <x:c r="I13" s="43"/>
      <x:c r="J13" s="43"/>
      <x:c r="K13" s="43"/>
      <x:c r="L13" s="39"/>
      <x:c r="M13" s="39"/>
      <x:c r="N13" s="39"/>
      <x:c r="O13" s="39"/>
      <x:c r="P13" s="39"/>
      <x:c r="Q13" s="39"/>
      <x:c r="R13" s="39"/>
      <x:c r="S13" s="39"/>
      <x:c r="T13" s="39"/>
      <x:c r="U13" s="39"/>
      <x:c r="V13" s="39"/>
      <x:c r="W13" s="39"/>
      <x:c r="X13" s="39"/>
      <x:c r="Y13" s="39"/>
      <x:c r="Z13" s="39"/>
    </x:row>
    <x:row r="14">
      <x:c r="A14" s="43" t="str">
        <x:v>User App</x:v>
      </x:c>
      <x:c r="B14" s="43" t="str">
        <x:v>Android app later; web dashboard first</x:v>
      </x:c>
      <x:c r="C14" s="43" t="str">
        <x:v>Avoids mobile complexity before backend and protocol are stable</x:v>
      </x:c>
      <x:c r="D14" s="43" t="str">
        <x:v>Planned</x:v>
      </x:c>
      <x:c r="E14" s="43" t="str"/>
      <x:c r="F14" s="43" t="str"/>
      <x:c r="G14" s="43" t="str"/>
      <x:c r="H14" s="43" t="str"/>
      <x:c r="I14" s="43"/>
      <x:c r="J14" s="43"/>
      <x:c r="K14" s="43"/>
      <x:c r="L14" s="39"/>
      <x:c r="M14" s="39"/>
      <x:c r="N14" s="39"/>
      <x:c r="O14" s="39"/>
      <x:c r="P14" s="39"/>
      <x:c r="Q14" s="39"/>
      <x:c r="R14" s="39"/>
      <x:c r="S14" s="39"/>
      <x:c r="T14" s="39"/>
      <x:c r="U14" s="39"/>
      <x:c r="V14" s="39"/>
      <x:c r="W14" s="39"/>
      <x:c r="X14" s="39"/>
      <x:c r="Y14" s="39"/>
      <x:c r="Z14" s="39"/>
    </x:row>
    <x:row r="15">
      <x:c r="A15" s="43" t="str">
        <x:v>Gateway</x:v>
      </x:c>
      <x:c r="B15" s="43" t="str">
        <x:v>Raspberry Pi 3B + directly wired LoRa module</x:v>
      </x:c>
      <x:c r="C15" s="43" t="str">
        <x:v>Matches user choice and enables local routing/failover logic</x:v>
      </x:c>
      <x:c r="D15" s="43" t="str">
        <x:v>Planned</x:v>
      </x:c>
      <x:c r="E15" s="43" t="str"/>
      <x:c r="F15" s="43" t="str"/>
      <x:c r="G15" s="43" t="str"/>
      <x:c r="H15" s="43" t="str"/>
      <x:c r="I15" s="43"/>
      <x:c r="J15" s="43"/>
      <x:c r="K15" s="43"/>
      <x:c r="L15" s="39"/>
      <x:c r="M15" s="39"/>
      <x:c r="N15" s="39"/>
      <x:c r="O15" s="39"/>
      <x:c r="P15" s="39"/>
      <x:c r="Q15" s="39"/>
      <x:c r="R15" s="39"/>
      <x:c r="S15" s="39"/>
      <x:c r="T15" s="39"/>
      <x:c r="U15" s="39"/>
      <x:c r="V15" s="39"/>
      <x:c r="W15" s="39"/>
      <x:c r="X15" s="39"/>
      <x:c r="Y15" s="39"/>
      <x:c r="Z15" s="39"/>
    </x:row>
    <x:row r="16">
      <x:c r="A16" s="43" t="str">
        <x:v>MANET Node</x:v>
      </x:c>
      <x:c r="B16" s="43" t="str">
        <x:v>ESP32 + SX1278 Ra-02 433 MHz</x:v>
      </x:c>
      <x:c r="C16" s="43" t="str">
        <x:v>Available hardware; good for prototype</x:v>
      </x:c>
      <x:c r="D16" s="43" t="str">
        <x:v>Planned</x:v>
      </x:c>
      <x:c r="E16" s="43" t="str"/>
      <x:c r="F16" s="43" t="str"/>
      <x:c r="G16" s="43" t="str"/>
      <x:c r="H16" s="43" t="str"/>
      <x:c r="I16" s="43"/>
      <x:c r="J16" s="43"/>
      <x:c r="K16" s="43"/>
      <x:c r="L16" s="39"/>
      <x:c r="M16" s="39"/>
      <x:c r="N16" s="39"/>
      <x:c r="O16" s="39"/>
      <x:c r="P16" s="39"/>
      <x:c r="Q16" s="39"/>
      <x:c r="R16" s="39"/>
      <x:c r="S16" s="39"/>
      <x:c r="T16" s="39"/>
      <x:c r="U16" s="39"/>
      <x:c r="V16" s="39"/>
      <x:c r="W16" s="39"/>
      <x:c r="X16" s="39"/>
      <x:c r="Y16" s="39"/>
      <x:c r="Z16" s="39"/>
    </x:row>
    <x:row r="17">
      <x:c r="A17" s="43" t="str">
        <x:v>Satellite Simulation</x:v>
      </x:c>
      <x:c r="B17" s="43" t="str">
        <x:v>Two 2.4 GHz WiFi routers connected wirelessly; latency simulated on Pi</x:v>
      </x:c>
      <x:c r="C17" s="43" t="str">
        <x:v>Practical simulation of LEO path without Starlink</x:v>
      </x:c>
      <x:c r="D17" s="43" t="str">
        <x:v>Planned</x:v>
      </x:c>
      <x:c r="E17" s="43" t="str"/>
      <x:c r="F17" s="43" t="str"/>
      <x:c r="G17" s="43" t="str"/>
      <x:c r="H17" s="43" t="str"/>
      <x:c r="I17" s="43"/>
      <x:c r="J17" s="43"/>
      <x:c r="K17" s="43"/>
      <x:c r="L17" s="39"/>
      <x:c r="M17" s="39"/>
      <x:c r="N17" s="39"/>
      <x:c r="O17" s="39"/>
      <x:c r="P17" s="39"/>
      <x:c r="Q17" s="39"/>
      <x:c r="R17" s="39"/>
      <x:c r="S17" s="39"/>
      <x:c r="T17" s="39"/>
      <x:c r="U17" s="39"/>
      <x:c r="V17" s="39"/>
      <x:c r="W17" s="39"/>
      <x:c r="X17" s="39"/>
      <x:c r="Y17" s="39"/>
      <x:c r="Z17" s="39"/>
    </x:row>
    <x:row r="18">
      <x:c r="A18" s="207" t="str">
        <x:v>CURRENT DEVELOPMENT WORKFLOW UPDATE</x:v>
      </x:c>
      <x:c r="B18" s="207"/>
      <x:c r="C18" s="207"/>
      <x:c r="D18" s="207"/>
      <x:c r="E18" s="207"/>
      <x:c r="F18" s="207"/>
      <x:c r="G18" s="207"/>
      <x:c r="H18" s="207"/>
      <x:c r="I18" s="43"/>
      <x:c r="J18" s="43"/>
      <x:c r="K18" s="43"/>
      <x:c r="L18" s="39"/>
      <x:c r="M18" s="39"/>
      <x:c r="N18" s="39"/>
      <x:c r="O18" s="39"/>
      <x:c r="P18" s="39"/>
      <x:c r="Q18" s="39"/>
      <x:c r="R18" s="39"/>
      <x:c r="S18" s="39"/>
      <x:c r="T18" s="39"/>
      <x:c r="U18" s="39"/>
      <x:c r="V18" s="39"/>
      <x:c r="W18" s="39"/>
      <x:c r="X18" s="39"/>
      <x:c r="Y18" s="39"/>
      <x:c r="Z18" s="39"/>
    </x:row>
    <x:row r="19">
      <x:c r="A19" s="197" t="str">
        <x:v>Workflow</x:v>
      </x:c>
      <x:c r="B19" s="43" t="str">
        <x:v>Codex + GitHub + Workbook tracking</x:v>
      </x:c>
      <x:c r="C19" s="43" t="str"/>
      <x:c r="D19" s="43" t="str"/>
      <x:c r="E19" s="197" t="str">
        <x:v>Active Constraint</x:v>
      </x:c>
      <x:c r="F19" s="43" t="str">
        <x:v>One workbook step per Codex task</x:v>
      </x:c>
      <x:c r="G19" s="43" t="str"/>
      <x:c r="H19" s="43" t="str"/>
      <x:c r="I19" s="43"/>
      <x:c r="J19" s="43"/>
      <x:c r="K19" s="43"/>
      <x:c r="L19" s="39"/>
      <x:c r="M19" s="39"/>
      <x:c r="N19" s="39"/>
      <x:c r="O19" s="39"/>
      <x:c r="P19" s="39"/>
      <x:c r="Q19" s="39"/>
      <x:c r="R19" s="39"/>
      <x:c r="S19" s="39"/>
      <x:c r="T19" s="39"/>
      <x:c r="U19" s="39"/>
      <x:c r="V19" s="39"/>
      <x:c r="W19" s="39"/>
      <x:c r="X19" s="39"/>
      <x:c r="Y19" s="39"/>
      <x:c r="Z19" s="39"/>
    </x:row>
    <x:row r="20">
      <x:c r="A20" s="211" t="str">
        <x:v>Local Tool</x:v>
      </x:c>
      <x:c r="B20" s="43" t="str">
        <x:v>Codex installed on MacBook Pro M1 Max</x:v>
      </x:c>
      <x:c r="C20" s="43" t="str"/>
      <x:c r="D20" s="43" t="str"/>
      <x:c r="E20" s="197" t="str">
        <x:v>Cloud/GitHub</x:v>
      </x:c>
      <x:c r="F20" s="43" t="str">
        <x:v>Use PR-based workflow when repo is ready</x:v>
      </x:c>
      <x:c r="G20" s="43" t="str"/>
      <x:c r="H20" s="43" t="str"/>
      <x:c r="I20" s="43"/>
      <x:c r="J20" s="43"/>
      <x:c r="K20" s="43"/>
      <x:c r="L20" s="39"/>
      <x:c r="M20" s="39"/>
      <x:c r="N20" s="39"/>
      <x:c r="O20" s="39"/>
      <x:c r="P20" s="39"/>
      <x:c r="Q20" s="39"/>
      <x:c r="R20" s="39"/>
      <x:c r="S20" s="39"/>
      <x:c r="T20" s="39"/>
      <x:c r="U20" s="39"/>
      <x:c r="V20" s="39"/>
      <x:c r="W20" s="39"/>
      <x:c r="X20" s="39"/>
      <x:c r="Y20" s="39"/>
      <x:c r="Z20" s="39"/>
    </x:row>
    <x:row r="21">
      <x:c r="A21" s="212" t="str">
        <x:v>Next Step</x:v>
      </x:c>
      <x:c r="B21" s="43" t="str">
        <x:v>Create GitHub repository and commit workbook/diagrams</x:v>
      </x:c>
      <x:c r="C21" s="43" t="str"/>
      <x:c r="D21" s="43" t="str"/>
      <x:c r="E21" s="197" t="str">
        <x:v>Required Evidence</x:v>
      </x:c>
      <x:c r="F21" s="43" t="str">
        <x:v>Repo URL and initial commit hash</x:v>
      </x:c>
      <x:c r="G21" s="43" t="str"/>
      <x:c r="H21" s="43" t="str"/>
      <x:c r="I21" s="43"/>
      <x:c r="J21" s="43"/>
      <x:c r="K21" s="43"/>
      <x:c r="L21" s="39"/>
      <x:c r="M21" s="39"/>
      <x:c r="N21" s="39"/>
      <x:c r="O21" s="39"/>
      <x:c r="P21" s="39"/>
      <x:c r="Q21" s="39"/>
      <x:c r="R21" s="39"/>
      <x:c r="S21" s="39"/>
      <x:c r="T21" s="39"/>
      <x:c r="U21" s="39"/>
      <x:c r="V21" s="39"/>
      <x:c r="W21" s="39"/>
      <x:c r="X21" s="39"/>
      <x:c r="Y21" s="39"/>
      <x:c r="Z21" s="39"/>
    </x:row>
    <x:row r="22">
      <x:c r="A22" s="197" t="str">
        <x:v>First Codex Task</x:v>
      </x:c>
      <x:c r="B22" s="43" t="str">
        <x:v>C0 Repo Setup / README + AGENTS.md</x:v>
      </x:c>
      <x:c r="C22" s="43" t="str"/>
      <x:c r="D22" s="43" t="str"/>
      <x:c r="E22" s="197" t="str">
        <x:v>Do Not Start</x:v>
      </x:c>
      <x:c r="F22" s="43" t="str">
        <x:v>Application code before repo baseline is complete</x:v>
      </x:c>
      <x:c r="G22" s="43" t="str"/>
      <x:c r="H22" s="43" t="str"/>
      <x:c r="I22" s="43"/>
      <x:c r="J22" s="43"/>
      <x:c r="K22" s="43"/>
      <x:c r="L22" s="39"/>
      <x:c r="M22" s="39"/>
      <x:c r="N22" s="39"/>
      <x:c r="O22" s="39"/>
      <x:c r="P22" s="39"/>
      <x:c r="Q22" s="39"/>
      <x:c r="R22" s="39"/>
      <x:c r="S22" s="39"/>
      <x:c r="T22" s="39"/>
      <x:c r="U22" s="39"/>
      <x:c r="V22" s="39"/>
      <x:c r="W22" s="39"/>
      <x:c r="X22" s="39"/>
      <x:c r="Y22" s="39"/>
      <x:c r="Z22" s="39"/>
    </x:row>
    <x:row r="23">
      <x:c r="A23" s="197" t="str">
        <x:v>Workbook Rule</x:v>
      </x:c>
      <x:c r="B23" s="43" t="str">
        <x:v>Update this workbook and commit it after every completed step</x:v>
      </x:c>
      <x:c r="C23" s="43" t="str"/>
      <x:c r="D23" s="43" t="str"/>
      <x:c r="E23" s="197" t="str">
        <x:v>Status</x:v>
      </x:c>
      <x:c r="F23" s="43" t="str">
        <x:v>Not Started</x:v>
      </x:c>
      <x:c r="G23" s="43" t="str"/>
      <x:c r="H23" s="43" t="str"/>
      <x:c r="I23" s="43"/>
      <x:c r="J23" s="43"/>
      <x:c r="K23" s="43"/>
      <x:c r="L23" s="39"/>
      <x:c r="M23" s="39"/>
      <x:c r="N23" s="39"/>
      <x:c r="O23" s="39"/>
      <x:c r="P23" s="39"/>
      <x:c r="Q23" s="39"/>
      <x:c r="R23" s="39"/>
      <x:c r="S23" s="39"/>
      <x:c r="T23" s="39"/>
      <x:c r="U23" s="39"/>
      <x:c r="V23" s="39"/>
      <x:c r="W23" s="39"/>
      <x:c r="X23" s="39"/>
      <x:c r="Y23" s="39"/>
      <x:c r="Z23" s="39"/>
    </x:row>
    <x:row r="24">
      <x:c r="A24" s="43"/>
      <x:c r="B24" s="43"/>
      <x:c r="C24" s="43"/>
      <x:c r="D24" s="43"/>
      <x:c r="E24" s="43"/>
      <x:c r="F24" s="43"/>
      <x:c r="G24" s="43"/>
      <x:c r="H24" s="43"/>
      <x:c r="I24" s="43"/>
      <x:c r="J24" s="43"/>
      <x:c r="K24" s="43"/>
      <x:c r="L24" s="39"/>
      <x:c r="M24" s="39"/>
      <x:c r="N24" s="39"/>
      <x:c r="O24" s="39"/>
      <x:c r="P24" s="39"/>
      <x:c r="Q24" s="39"/>
      <x:c r="R24" s="39"/>
      <x:c r="S24" s="39"/>
      <x:c r="T24" s="39"/>
      <x:c r="U24" s="39"/>
      <x:c r="V24" s="39"/>
      <x:c r="W24" s="39"/>
      <x:c r="X24" s="39"/>
      <x:c r="Y24" s="39"/>
      <x:c r="Z24" s="39"/>
    </x:row>
    <x:row r="25">
      <x:c r="A25" s="43"/>
      <x:c r="B25" s="43"/>
      <x:c r="C25" s="43"/>
      <x:c r="D25" s="43"/>
      <x:c r="E25" s="43"/>
      <x:c r="F25" s="43"/>
      <x:c r="G25" s="43"/>
      <x:c r="H25" s="43"/>
      <x:c r="I25" s="43"/>
      <x:c r="J25" s="43"/>
      <x:c r="K25" s="43"/>
      <x:c r="L25" s="39"/>
      <x:c r="M25" s="39"/>
      <x:c r="N25" s="39"/>
      <x:c r="O25" s="39"/>
      <x:c r="P25" s="39"/>
      <x:c r="Q25" s="39"/>
      <x:c r="R25" s="39"/>
      <x:c r="S25" s="39"/>
      <x:c r="T25" s="39"/>
      <x:c r="U25" s="39"/>
      <x:c r="V25" s="39"/>
      <x:c r="W25" s="39"/>
      <x:c r="X25" s="39"/>
      <x:c r="Y25" s="39"/>
      <x:c r="Z25" s="39"/>
    </x:row>
    <x:row r="26">
      <x:c r="A26" s="43"/>
      <x:c r="B26" s="43"/>
      <x:c r="C26" s="43"/>
      <x:c r="D26" s="43"/>
      <x:c r="E26" s="43"/>
      <x:c r="F26" s="43"/>
      <x:c r="G26" s="43"/>
      <x:c r="H26" s="43"/>
      <x:c r="I26" s="43"/>
      <x:c r="J26" s="43"/>
      <x:c r="K26" s="43"/>
      <x:c r="L26" s="39"/>
      <x:c r="M26" s="39"/>
      <x:c r="N26" s="39"/>
      <x:c r="O26" s="39"/>
      <x:c r="P26" s="39"/>
      <x:c r="Q26" s="39"/>
      <x:c r="R26" s="39"/>
      <x:c r="S26" s="39"/>
      <x:c r="T26" s="39"/>
      <x:c r="U26" s="39"/>
      <x:c r="V26" s="39"/>
      <x:c r="W26" s="39"/>
      <x:c r="X26" s="39"/>
      <x:c r="Y26" s="39"/>
      <x:c r="Z26" s="39"/>
    </x:row>
    <x:row r="27">
      <x:c r="A27" s="43"/>
      <x:c r="B27" s="43"/>
      <x:c r="C27" s="43"/>
      <x:c r="D27" s="43"/>
      <x:c r="E27" s="43"/>
      <x:c r="F27" s="43"/>
      <x:c r="G27" s="43"/>
      <x:c r="H27" s="43"/>
      <x:c r="I27" s="43"/>
      <x:c r="J27" s="43"/>
      <x:c r="K27" s="43"/>
      <x:c r="L27" s="39"/>
      <x:c r="M27" s="39"/>
      <x:c r="N27" s="39"/>
      <x:c r="O27" s="39"/>
      <x:c r="P27" s="39"/>
      <x:c r="Q27" s="39"/>
      <x:c r="R27" s="39"/>
      <x:c r="S27" s="39"/>
      <x:c r="T27" s="39"/>
      <x:c r="U27" s="39"/>
      <x:c r="V27" s="39"/>
      <x:c r="W27" s="39"/>
      <x:c r="X27" s="39"/>
      <x:c r="Y27" s="39"/>
      <x:c r="Z27" s="39"/>
    </x:row>
    <x:row r="28">
      <x:c r="A28" s="43"/>
      <x:c r="B28" s="43"/>
      <x:c r="C28" s="43"/>
      <x:c r="D28" s="43"/>
      <x:c r="E28" s="43"/>
      <x:c r="F28" s="43"/>
      <x:c r="G28" s="43"/>
      <x:c r="H28" s="43"/>
      <x:c r="I28" s="43"/>
      <x:c r="J28" s="43"/>
      <x:c r="K28" s="43"/>
      <x:c r="L28" s="39"/>
      <x:c r="M28" s="39"/>
      <x:c r="N28" s="39"/>
      <x:c r="O28" s="39"/>
      <x:c r="P28" s="39"/>
      <x:c r="Q28" s="39"/>
      <x:c r="R28" s="39"/>
      <x:c r="S28" s="39"/>
      <x:c r="T28" s="39"/>
      <x:c r="U28" s="39"/>
      <x:c r="V28" s="39"/>
      <x:c r="W28" s="39"/>
      <x:c r="X28" s="39"/>
      <x:c r="Y28" s="39"/>
      <x:c r="Z28" s="39"/>
    </x:row>
    <x:row r="29">
      <x:c r="A29" s="43"/>
      <x:c r="B29" s="43"/>
      <x:c r="C29" s="43"/>
      <x:c r="D29" s="43"/>
      <x:c r="E29" s="43"/>
      <x:c r="F29" s="43"/>
      <x:c r="G29" s="43"/>
      <x:c r="H29" s="43"/>
      <x:c r="I29" s="43"/>
      <x:c r="J29" s="43"/>
      <x:c r="K29" s="43"/>
      <x:c r="L29" s="39"/>
      <x:c r="M29" s="39"/>
      <x:c r="N29" s="39"/>
      <x:c r="O29" s="39"/>
      <x:c r="P29" s="39"/>
      <x:c r="Q29" s="39"/>
      <x:c r="R29" s="39"/>
      <x:c r="S29" s="39"/>
      <x:c r="T29" s="39"/>
      <x:c r="U29" s="39"/>
      <x:c r="V29" s="39"/>
      <x:c r="W29" s="39"/>
      <x:c r="X29" s="39"/>
      <x:c r="Y29" s="39"/>
      <x:c r="Z29" s="39"/>
    </x:row>
    <x:row r="30">
      <x:c r="A30" s="43"/>
      <x:c r="B30" s="43"/>
      <x:c r="C30" s="43"/>
      <x:c r="D30" s="43"/>
      <x:c r="E30" s="43"/>
      <x:c r="F30" s="43"/>
      <x:c r="G30" s="43"/>
      <x:c r="H30" s="43"/>
      <x:c r="I30" s="43"/>
      <x:c r="J30" s="43"/>
      <x:c r="K30" s="43"/>
      <x:c r="L30" s="39"/>
      <x:c r="M30" s="39"/>
      <x:c r="N30" s="39"/>
      <x:c r="O30" s="39"/>
      <x:c r="P30" s="39"/>
      <x:c r="Q30" s="39"/>
      <x:c r="R30" s="39"/>
      <x:c r="S30" s="39"/>
      <x:c r="T30" s="39"/>
      <x:c r="U30" s="39"/>
      <x:c r="V30" s="39"/>
      <x:c r="W30" s="39"/>
      <x:c r="X30" s="39"/>
      <x:c r="Y30" s="39"/>
      <x:c r="Z30" s="39"/>
    </x:row>
    <x:row r="31">
      <x:c r="A31" s="43"/>
      <x:c r="B31" s="43"/>
      <x:c r="C31" s="43"/>
      <x:c r="D31" s="43"/>
      <x:c r="E31" s="43"/>
      <x:c r="F31" s="43"/>
      <x:c r="G31" s="43"/>
      <x:c r="H31" s="43"/>
      <x:c r="I31" s="43"/>
      <x:c r="J31" s="43"/>
      <x:c r="K31" s="43"/>
      <x:c r="L31" s="39"/>
      <x:c r="M31" s="39"/>
      <x:c r="N31" s="39"/>
      <x:c r="O31" s="39"/>
      <x:c r="P31" s="39"/>
      <x:c r="Q31" s="39"/>
      <x:c r="R31" s="39"/>
      <x:c r="S31" s="39"/>
      <x:c r="T31" s="39"/>
      <x:c r="U31" s="39"/>
      <x:c r="V31" s="39"/>
      <x:c r="W31" s="39"/>
      <x:c r="X31" s="39"/>
      <x:c r="Y31" s="39"/>
      <x:c r="Z31" s="39"/>
    </x:row>
    <x:row r="32">
      <x:c r="A32" s="43"/>
      <x:c r="B32" s="43"/>
      <x:c r="C32" s="43"/>
      <x:c r="D32" s="43"/>
      <x:c r="E32" s="43"/>
      <x:c r="F32" s="43"/>
      <x:c r="G32" s="43"/>
      <x:c r="H32" s="43"/>
      <x:c r="I32" s="43"/>
      <x:c r="J32" s="43"/>
      <x:c r="K32" s="43"/>
      <x:c r="L32" s="39"/>
      <x:c r="M32" s="39"/>
      <x:c r="N32" s="39"/>
      <x:c r="O32" s="39"/>
      <x:c r="P32" s="39"/>
      <x:c r="Q32" s="39"/>
      <x:c r="R32" s="39"/>
      <x:c r="S32" s="39"/>
      <x:c r="T32" s="39"/>
      <x:c r="U32" s="39"/>
      <x:c r="V32" s="39"/>
      <x:c r="W32" s="39"/>
      <x:c r="X32" s="39"/>
      <x:c r="Y32" s="39"/>
      <x:c r="Z32" s="39"/>
    </x:row>
    <x:row r="33">
      <x:c r="A33" s="43"/>
      <x:c r="B33" s="43"/>
      <x:c r="C33" s="43"/>
      <x:c r="D33" s="43"/>
      <x:c r="E33" s="43"/>
      <x:c r="F33" s="43"/>
      <x:c r="G33" s="43"/>
      <x:c r="H33" s="43"/>
      <x:c r="I33" s="43"/>
      <x:c r="J33" s="43"/>
      <x:c r="K33" s="43"/>
      <x:c r="L33" s="39"/>
      <x:c r="M33" s="39"/>
      <x:c r="N33" s="39"/>
      <x:c r="O33" s="39"/>
      <x:c r="P33" s="39"/>
      <x:c r="Q33" s="39"/>
      <x:c r="R33" s="39"/>
      <x:c r="S33" s="39"/>
      <x:c r="T33" s="39"/>
      <x:c r="U33" s="39"/>
      <x:c r="V33" s="39"/>
      <x:c r="W33" s="39"/>
      <x:c r="X33" s="39"/>
      <x:c r="Y33" s="39"/>
      <x:c r="Z33" s="39"/>
    </x:row>
    <x:row r="34">
      <x:c r="A34" s="43"/>
      <x:c r="B34" s="43"/>
      <x:c r="C34" s="43"/>
      <x:c r="D34" s="43"/>
      <x:c r="E34" s="43"/>
      <x:c r="F34" s="43"/>
      <x:c r="G34" s="43"/>
      <x:c r="H34" s="43"/>
      <x:c r="I34" s="43"/>
      <x:c r="J34" s="43"/>
      <x:c r="K34" s="43"/>
      <x:c r="L34" s="39"/>
      <x:c r="M34" s="39"/>
      <x:c r="N34" s="39"/>
      <x:c r="O34" s="39"/>
      <x:c r="P34" s="39"/>
      <x:c r="Q34" s="39"/>
      <x:c r="R34" s="39"/>
      <x:c r="S34" s="39"/>
      <x:c r="T34" s="39"/>
      <x:c r="U34" s="39"/>
      <x:c r="V34" s="39"/>
      <x:c r="W34" s="39"/>
      <x:c r="X34" s="39"/>
      <x:c r="Y34" s="39"/>
      <x:c r="Z34" s="39"/>
    </x:row>
    <x:row r="35">
      <x:c r="A35" s="43"/>
      <x:c r="B35" s="43"/>
      <x:c r="C35" s="43"/>
      <x:c r="D35" s="43"/>
      <x:c r="E35" s="43"/>
      <x:c r="F35" s="43"/>
      <x:c r="G35" s="43"/>
      <x:c r="H35" s="43"/>
      <x:c r="I35" s="43"/>
      <x:c r="J35" s="43"/>
      <x:c r="K35" s="43"/>
      <x:c r="L35" s="39"/>
      <x:c r="M35" s="39"/>
      <x:c r="N35" s="39"/>
      <x:c r="O35" s="39"/>
      <x:c r="P35" s="39"/>
      <x:c r="Q35" s="39"/>
      <x:c r="R35" s="39"/>
      <x:c r="S35" s="39"/>
      <x:c r="T35" s="39"/>
      <x:c r="U35" s="39"/>
      <x:c r="V35" s="39"/>
      <x:c r="W35" s="39"/>
      <x:c r="X35" s="39"/>
      <x:c r="Y35" s="39"/>
      <x:c r="Z35" s="39"/>
    </x:row>
    <x:row r="36">
      <x:c r="A36" s="43"/>
      <x:c r="B36" s="43"/>
      <x:c r="C36" s="43"/>
      <x:c r="D36" s="43"/>
      <x:c r="E36" s="43"/>
      <x:c r="F36" s="43"/>
      <x:c r="G36" s="43"/>
      <x:c r="H36" s="43"/>
      <x:c r="I36" s="43"/>
      <x:c r="J36" s="43"/>
      <x:c r="K36" s="43"/>
      <x:c r="L36" s="39"/>
      <x:c r="M36" s="39"/>
      <x:c r="N36" s="39"/>
      <x:c r="O36" s="39"/>
      <x:c r="P36" s="39"/>
      <x:c r="Q36" s="39"/>
      <x:c r="R36" s="39"/>
      <x:c r="S36" s="39"/>
      <x:c r="T36" s="39"/>
      <x:c r="U36" s="39"/>
      <x:c r="V36" s="39"/>
      <x:c r="W36" s="39"/>
      <x:c r="X36" s="39"/>
      <x:c r="Y36" s="39"/>
      <x:c r="Z36" s="39"/>
    </x:row>
    <x:row r="37">
      <x:c r="A37" s="43"/>
      <x:c r="B37" s="43"/>
      <x:c r="C37" s="43"/>
      <x:c r="D37" s="43"/>
      <x:c r="E37" s="43"/>
      <x:c r="F37" s="43"/>
      <x:c r="G37" s="43"/>
      <x:c r="H37" s="43"/>
      <x:c r="I37" s="43"/>
      <x:c r="J37" s="43"/>
      <x:c r="K37" s="43"/>
      <x:c r="L37" s="39"/>
      <x:c r="M37" s="39"/>
      <x:c r="N37" s="39"/>
      <x:c r="O37" s="39"/>
      <x:c r="P37" s="39"/>
      <x:c r="Q37" s="39"/>
      <x:c r="R37" s="39"/>
      <x:c r="S37" s="39"/>
      <x:c r="T37" s="39"/>
      <x:c r="U37" s="39"/>
      <x:c r="V37" s="39"/>
      <x:c r="W37" s="39"/>
      <x:c r="X37" s="39"/>
      <x:c r="Y37" s="39"/>
      <x:c r="Z37" s="39"/>
    </x:row>
    <x:row r="38">
      <x:c r="A38" s="43"/>
      <x:c r="B38" s="43"/>
      <x:c r="C38" s="43"/>
      <x:c r="D38" s="43"/>
      <x:c r="E38" s="43"/>
      <x:c r="F38" s="43"/>
      <x:c r="G38" s="43"/>
      <x:c r="H38" s="43"/>
      <x:c r="I38" s="43"/>
      <x:c r="J38" s="43"/>
      <x:c r="K38" s="43"/>
      <x:c r="L38" s="39"/>
      <x:c r="M38" s="39"/>
      <x:c r="N38" s="39"/>
      <x:c r="O38" s="39"/>
      <x:c r="P38" s="39"/>
      <x:c r="Q38" s="39"/>
      <x:c r="R38" s="39"/>
      <x:c r="S38" s="39"/>
      <x:c r="T38" s="39"/>
      <x:c r="U38" s="39"/>
      <x:c r="V38" s="39"/>
      <x:c r="W38" s="39"/>
      <x:c r="X38" s="39"/>
      <x:c r="Y38" s="39"/>
      <x:c r="Z38" s="39"/>
    </x:row>
    <x:row r="39">
      <x:c r="A39" s="43"/>
      <x:c r="B39" s="43"/>
      <x:c r="C39" s="43"/>
      <x:c r="D39" s="43"/>
      <x:c r="E39" s="43"/>
      <x:c r="F39" s="43"/>
      <x:c r="G39" s="43"/>
      <x:c r="H39" s="43"/>
      <x:c r="I39" s="43"/>
      <x:c r="J39" s="43"/>
      <x:c r="K39" s="43"/>
      <x:c r="L39" s="39"/>
      <x:c r="M39" s="39"/>
      <x:c r="N39" s="39"/>
      <x:c r="O39" s="39"/>
      <x:c r="P39" s="39"/>
      <x:c r="Q39" s="39"/>
      <x:c r="R39" s="39"/>
      <x:c r="S39" s="39"/>
      <x:c r="T39" s="39"/>
      <x:c r="U39" s="39"/>
      <x:c r="V39" s="39"/>
      <x:c r="W39" s="39"/>
      <x:c r="X39" s="39"/>
      <x:c r="Y39" s="39"/>
      <x:c r="Z39" s="39"/>
    </x:row>
    <x:row r="40">
      <x:c r="A40" s="43"/>
      <x:c r="B40" s="43"/>
      <x:c r="C40" s="43"/>
      <x:c r="D40" s="43"/>
      <x:c r="E40" s="43"/>
      <x:c r="F40" s="43"/>
      <x:c r="G40" s="43"/>
      <x:c r="H40" s="43"/>
      <x:c r="I40" s="43"/>
      <x:c r="J40" s="43"/>
      <x:c r="K40" s="43"/>
      <x:c r="L40" s="39"/>
      <x:c r="M40" s="39"/>
      <x:c r="N40" s="39"/>
      <x:c r="O40" s="39"/>
      <x:c r="P40" s="39"/>
      <x:c r="Q40" s="39"/>
      <x:c r="R40" s="39"/>
      <x:c r="S40" s="39"/>
      <x:c r="T40" s="39"/>
      <x:c r="U40" s="39"/>
      <x:c r="V40" s="39"/>
      <x:c r="W40" s="39"/>
      <x:c r="X40" s="39"/>
      <x:c r="Y40" s="39"/>
      <x:c r="Z40" s="39"/>
    </x:row>
    <x:row r="41">
      <x:c r="A41" s="43"/>
      <x:c r="B41" s="43"/>
      <x:c r="C41" s="43"/>
      <x:c r="D41" s="43"/>
      <x:c r="E41" s="43"/>
      <x:c r="F41" s="43"/>
      <x:c r="G41" s="43"/>
      <x:c r="H41" s="43"/>
      <x:c r="I41" s="43"/>
      <x:c r="J41" s="43"/>
      <x:c r="K41" s="43"/>
      <x:c r="L41" s="39"/>
      <x:c r="M41" s="39"/>
      <x:c r="N41" s="39"/>
      <x:c r="O41" s="39"/>
      <x:c r="P41" s="39"/>
      <x:c r="Q41" s="39"/>
      <x:c r="R41" s="39"/>
      <x:c r="S41" s="39"/>
      <x:c r="T41" s="39"/>
      <x:c r="U41" s="39"/>
      <x:c r="V41" s="39"/>
      <x:c r="W41" s="39"/>
      <x:c r="X41" s="39"/>
      <x:c r="Y41" s="39"/>
      <x:c r="Z41" s="39"/>
    </x:row>
    <x:row r="42">
      <x:c r="A42" s="43"/>
      <x:c r="B42" s="43"/>
      <x:c r="C42" s="43"/>
      <x:c r="D42" s="43"/>
      <x:c r="E42" s="43"/>
      <x:c r="F42" s="43"/>
      <x:c r="G42" s="43"/>
      <x:c r="H42" s="43"/>
      <x:c r="I42" s="43"/>
      <x:c r="J42" s="43"/>
      <x:c r="K42" s="43"/>
      <x:c r="L42" s="39"/>
      <x:c r="M42" s="39"/>
      <x:c r="N42" s="39"/>
      <x:c r="O42" s="39"/>
      <x:c r="P42" s="39"/>
      <x:c r="Q42" s="39"/>
      <x:c r="R42" s="39"/>
      <x:c r="S42" s="39"/>
      <x:c r="T42" s="39"/>
      <x:c r="U42" s="39"/>
      <x:c r="V42" s="39"/>
      <x:c r="W42" s="39"/>
      <x:c r="X42" s="39"/>
      <x:c r="Y42" s="39"/>
      <x:c r="Z42" s="39"/>
    </x:row>
    <x:row r="43">
      <x:c r="A43" s="43"/>
      <x:c r="B43" s="43"/>
      <x:c r="C43" s="43"/>
      <x:c r="D43" s="43"/>
      <x:c r="E43" s="43"/>
      <x:c r="F43" s="43"/>
      <x:c r="G43" s="43"/>
      <x:c r="H43" s="43"/>
      <x:c r="I43" s="43"/>
      <x:c r="J43" s="43"/>
      <x:c r="K43" s="43"/>
      <x:c r="L43" s="39"/>
      <x:c r="M43" s="39"/>
      <x:c r="N43" s="39"/>
      <x:c r="O43" s="39"/>
      <x:c r="P43" s="39"/>
      <x:c r="Q43" s="39"/>
      <x:c r="R43" s="39"/>
      <x:c r="S43" s="39"/>
      <x:c r="T43" s="39"/>
      <x:c r="U43" s="39"/>
      <x:c r="V43" s="39"/>
      <x:c r="W43" s="39"/>
      <x:c r="X43" s="39"/>
      <x:c r="Y43" s="39"/>
      <x:c r="Z43" s="39"/>
    </x:row>
    <x:row r="44">
      <x:c r="A44" s="43"/>
      <x:c r="B44" s="43"/>
      <x:c r="C44" s="43"/>
      <x:c r="D44" s="43"/>
      <x:c r="E44" s="43"/>
      <x:c r="F44" s="43"/>
      <x:c r="G44" s="43"/>
      <x:c r="H44" s="43"/>
      <x:c r="I44" s="43"/>
      <x:c r="J44" s="43"/>
      <x:c r="K44" s="43"/>
      <x:c r="L44" s="39"/>
      <x:c r="M44" s="39"/>
      <x:c r="N44" s="39"/>
      <x:c r="O44" s="39"/>
      <x:c r="P44" s="39"/>
      <x:c r="Q44" s="39"/>
      <x:c r="R44" s="39"/>
      <x:c r="S44" s="39"/>
      <x:c r="T44" s="39"/>
      <x:c r="U44" s="39"/>
      <x:c r="V44" s="39"/>
      <x:c r="W44" s="39"/>
      <x:c r="X44" s="39"/>
      <x:c r="Y44" s="39"/>
      <x:c r="Z44" s="39"/>
    </x:row>
    <x:row r="45">
      <x:c r="A45" s="43"/>
      <x:c r="B45" s="43"/>
      <x:c r="C45" s="43"/>
      <x:c r="D45" s="43"/>
      <x:c r="E45" s="43"/>
      <x:c r="F45" s="43"/>
      <x:c r="G45" s="43"/>
      <x:c r="H45" s="43"/>
      <x:c r="I45" s="43"/>
      <x:c r="J45" s="43"/>
      <x:c r="K45" s="43"/>
      <x:c r="L45" s="39"/>
      <x:c r="M45" s="39"/>
      <x:c r="N45" s="39"/>
      <x:c r="O45" s="39"/>
      <x:c r="P45" s="39"/>
      <x:c r="Q45" s="39"/>
      <x:c r="R45" s="39"/>
      <x:c r="S45" s="39"/>
      <x:c r="T45" s="39"/>
      <x:c r="U45" s="39"/>
      <x:c r="V45" s="39"/>
      <x:c r="W45" s="39"/>
      <x:c r="X45" s="39"/>
      <x:c r="Y45" s="39"/>
      <x:c r="Z45" s="39"/>
    </x:row>
    <x:row r="46">
      <x:c r="A46" s="43"/>
      <x:c r="B46" s="43"/>
      <x:c r="C46" s="43"/>
      <x:c r="D46" s="43"/>
      <x:c r="E46" s="43"/>
      <x:c r="F46" s="43"/>
      <x:c r="G46" s="43"/>
      <x:c r="H46" s="43"/>
      <x:c r="I46" s="43"/>
      <x:c r="J46" s="43"/>
      <x:c r="K46" s="43"/>
      <x:c r="L46" s="39"/>
      <x:c r="M46" s="39"/>
      <x:c r="N46" s="39"/>
      <x:c r="O46" s="39"/>
      <x:c r="P46" s="39"/>
      <x:c r="Q46" s="39"/>
      <x:c r="R46" s="39"/>
      <x:c r="S46" s="39"/>
      <x:c r="T46" s="39"/>
      <x:c r="U46" s="39"/>
      <x:c r="V46" s="39"/>
      <x:c r="W46" s="39"/>
      <x:c r="X46" s="39"/>
      <x:c r="Y46" s="39"/>
      <x:c r="Z46" s="39"/>
    </x:row>
    <x:row r="47">
      <x:c r="A47" s="43"/>
      <x:c r="B47" s="43"/>
      <x:c r="C47" s="43"/>
      <x:c r="D47" s="43"/>
      <x:c r="E47" s="43"/>
      <x:c r="F47" s="43"/>
      <x:c r="G47" s="43"/>
      <x:c r="H47" s="43"/>
      <x:c r="I47" s="43"/>
      <x:c r="J47" s="43"/>
      <x:c r="K47" s="43"/>
      <x:c r="L47" s="39"/>
      <x:c r="M47" s="39"/>
      <x:c r="N47" s="39"/>
      <x:c r="O47" s="39"/>
      <x:c r="P47" s="39"/>
      <x:c r="Q47" s="39"/>
      <x:c r="R47" s="39"/>
      <x:c r="S47" s="39"/>
      <x:c r="T47" s="39"/>
      <x:c r="U47" s="39"/>
      <x:c r="V47" s="39"/>
      <x:c r="W47" s="39"/>
      <x:c r="X47" s="39"/>
      <x:c r="Y47" s="39"/>
      <x:c r="Z47" s="39"/>
    </x:row>
    <x:row r="48">
      <x:c r="A48" s="43"/>
      <x:c r="B48" s="43"/>
      <x:c r="C48" s="43"/>
      <x:c r="D48" s="43"/>
      <x:c r="E48" s="43"/>
      <x:c r="F48" s="43"/>
      <x:c r="G48" s="43"/>
      <x:c r="H48" s="43"/>
      <x:c r="I48" s="43"/>
      <x:c r="J48" s="43"/>
      <x:c r="K48" s="43"/>
      <x:c r="L48" s="39"/>
      <x:c r="M48" s="39"/>
      <x:c r="N48" s="39"/>
      <x:c r="O48" s="39"/>
      <x:c r="P48" s="39"/>
      <x:c r="Q48" s="39"/>
      <x:c r="R48" s="39"/>
      <x:c r="S48" s="39"/>
      <x:c r="T48" s="39"/>
      <x:c r="U48" s="39"/>
      <x:c r="V48" s="39"/>
      <x:c r="W48" s="39"/>
      <x:c r="X48" s="39"/>
      <x:c r="Y48" s="39"/>
      <x:c r="Z48" s="39"/>
    </x:row>
    <x:row r="49">
      <x:c r="A49" s="43"/>
      <x:c r="B49" s="43"/>
      <x:c r="C49" s="43"/>
      <x:c r="D49" s="43"/>
      <x:c r="E49" s="43"/>
      <x:c r="F49" s="43"/>
      <x:c r="G49" s="43"/>
      <x:c r="H49" s="43"/>
      <x:c r="I49" s="43"/>
      <x:c r="J49" s="43"/>
      <x:c r="K49" s="43"/>
      <x:c r="L49" s="39"/>
      <x:c r="M49" s="39"/>
      <x:c r="N49" s="39"/>
      <x:c r="O49" s="39"/>
      <x:c r="P49" s="39"/>
      <x:c r="Q49" s="39"/>
      <x:c r="R49" s="39"/>
      <x:c r="S49" s="39"/>
      <x:c r="T49" s="39"/>
      <x:c r="U49" s="39"/>
      <x:c r="V49" s="39"/>
      <x:c r="W49" s="39"/>
      <x:c r="X49" s="39"/>
      <x:c r="Y49" s="39"/>
      <x:c r="Z49" s="39"/>
    </x:row>
    <x:row r="50">
      <x:c r="A50" s="43"/>
      <x:c r="B50" s="43"/>
      <x:c r="C50" s="43"/>
      <x:c r="D50" s="43"/>
      <x:c r="E50" s="43"/>
      <x:c r="F50" s="43"/>
      <x:c r="G50" s="43"/>
      <x:c r="H50" s="43"/>
      <x:c r="I50" s="43"/>
      <x:c r="J50" s="43"/>
      <x:c r="K50" s="43"/>
      <x:c r="L50" s="39"/>
      <x:c r="M50" s="39"/>
      <x:c r="N50" s="39"/>
      <x:c r="O50" s="39"/>
      <x:c r="P50" s="39"/>
      <x:c r="Q50" s="39"/>
      <x:c r="R50" s="39"/>
      <x:c r="S50" s="39"/>
      <x:c r="T50" s="39"/>
      <x:c r="U50" s="39"/>
      <x:c r="V50" s="39"/>
      <x:c r="W50" s="39"/>
      <x:c r="X50" s="39"/>
      <x:c r="Y50" s="39"/>
      <x:c r="Z50" s="39"/>
    </x:row>
    <x:row r="51">
      <x:c r="A51" s="43"/>
      <x:c r="B51" s="43"/>
      <x:c r="C51" s="43"/>
      <x:c r="D51" s="43"/>
      <x:c r="E51" s="43"/>
      <x:c r="F51" s="43"/>
      <x:c r="G51" s="43"/>
      <x:c r="H51" s="43"/>
      <x:c r="I51" s="43"/>
      <x:c r="J51" s="43"/>
      <x:c r="K51" s="43"/>
      <x:c r="L51" s="39"/>
      <x:c r="M51" s="39"/>
      <x:c r="N51" s="39"/>
      <x:c r="O51" s="39"/>
      <x:c r="P51" s="39"/>
      <x:c r="Q51" s="39"/>
      <x:c r="R51" s="39"/>
      <x:c r="S51" s="39"/>
      <x:c r="T51" s="39"/>
      <x:c r="U51" s="39"/>
      <x:c r="V51" s="39"/>
      <x:c r="W51" s="39"/>
      <x:c r="X51" s="39"/>
      <x:c r="Y51" s="39"/>
      <x:c r="Z51" s="39"/>
    </x:row>
    <x:row r="52">
      <x:c r="A52" s="43"/>
      <x:c r="B52" s="43"/>
      <x:c r="C52" s="43"/>
      <x:c r="D52" s="43"/>
      <x:c r="E52" s="43"/>
      <x:c r="F52" s="43"/>
      <x:c r="G52" s="43"/>
      <x:c r="H52" s="43"/>
      <x:c r="I52" s="43"/>
      <x:c r="J52" s="43"/>
      <x:c r="K52" s="43"/>
      <x:c r="L52" s="39"/>
      <x:c r="M52" s="39"/>
      <x:c r="N52" s="39"/>
      <x:c r="O52" s="39"/>
      <x:c r="P52" s="39"/>
      <x:c r="Q52" s="39"/>
      <x:c r="R52" s="39"/>
      <x:c r="S52" s="39"/>
      <x:c r="T52" s="39"/>
      <x:c r="U52" s="39"/>
      <x:c r="V52" s="39"/>
      <x:c r="W52" s="39"/>
      <x:c r="X52" s="39"/>
      <x:c r="Y52" s="39"/>
      <x:c r="Z52" s="39"/>
    </x:row>
    <x:row r="53">
      <x:c r="A53" s="43"/>
      <x:c r="B53" s="43"/>
      <x:c r="C53" s="43"/>
      <x:c r="D53" s="43"/>
      <x:c r="E53" s="43"/>
      <x:c r="F53" s="43"/>
      <x:c r="G53" s="43"/>
      <x:c r="H53" s="43"/>
      <x:c r="I53" s="43"/>
      <x:c r="J53" s="43"/>
      <x:c r="K53" s="43"/>
      <x:c r="L53" s="39"/>
      <x:c r="M53" s="39"/>
      <x:c r="N53" s="39"/>
      <x:c r="O53" s="39"/>
      <x:c r="P53" s="39"/>
      <x:c r="Q53" s="39"/>
      <x:c r="R53" s="39"/>
      <x:c r="S53" s="39"/>
      <x:c r="T53" s="39"/>
      <x:c r="U53" s="39"/>
      <x:c r="V53" s="39"/>
      <x:c r="W53" s="39"/>
      <x:c r="X53" s="39"/>
      <x:c r="Y53" s="39"/>
      <x:c r="Z53" s="39"/>
    </x:row>
    <x:row r="54">
      <x:c r="A54" s="43"/>
      <x:c r="B54" s="43"/>
      <x:c r="C54" s="43"/>
      <x:c r="D54" s="43"/>
      <x:c r="E54" s="43"/>
      <x:c r="F54" s="43"/>
      <x:c r="G54" s="43"/>
      <x:c r="H54" s="43"/>
      <x:c r="I54" s="43"/>
      <x:c r="J54" s="43"/>
      <x:c r="K54" s="43"/>
      <x:c r="L54" s="39"/>
      <x:c r="M54" s="39"/>
      <x:c r="N54" s="39"/>
      <x:c r="O54" s="39"/>
      <x:c r="P54" s="39"/>
      <x:c r="Q54" s="39"/>
      <x:c r="R54" s="39"/>
      <x:c r="S54" s="39"/>
      <x:c r="T54" s="39"/>
      <x:c r="U54" s="39"/>
      <x:c r="V54" s="39"/>
      <x:c r="W54" s="39"/>
      <x:c r="X54" s="39"/>
      <x:c r="Y54" s="39"/>
      <x:c r="Z54" s="39"/>
    </x:row>
    <x:row r="55">
      <x:c r="A55" s="43"/>
      <x:c r="B55" s="43"/>
      <x:c r="C55" s="43"/>
      <x:c r="D55" s="43"/>
      <x:c r="E55" s="43"/>
      <x:c r="F55" s="43"/>
      <x:c r="G55" s="43"/>
      <x:c r="H55" s="43"/>
      <x:c r="I55" s="43"/>
      <x:c r="J55" s="43"/>
      <x:c r="K55" s="43"/>
      <x:c r="L55" s="39"/>
      <x:c r="M55" s="39"/>
      <x:c r="N55" s="39"/>
      <x:c r="O55" s="39"/>
      <x:c r="P55" s="39"/>
      <x:c r="Q55" s="39"/>
      <x:c r="R55" s="39"/>
      <x:c r="S55" s="39"/>
      <x:c r="T55" s="39"/>
      <x:c r="U55" s="39"/>
      <x:c r="V55" s="39"/>
      <x:c r="W55" s="39"/>
      <x:c r="X55" s="39"/>
      <x:c r="Y55" s="39"/>
      <x:c r="Z55" s="39"/>
    </x:row>
    <x:row r="56">
      <x:c r="A56" s="43"/>
      <x:c r="B56" s="43"/>
      <x:c r="C56" s="43"/>
      <x:c r="D56" s="43"/>
      <x:c r="E56" s="43"/>
      <x:c r="F56" s="43"/>
      <x:c r="G56" s="43"/>
      <x:c r="H56" s="43"/>
      <x:c r="I56" s="43"/>
      <x:c r="J56" s="43"/>
      <x:c r="K56" s="43"/>
      <x:c r="L56" s="39"/>
      <x:c r="M56" s="39"/>
      <x:c r="N56" s="39"/>
      <x:c r="O56" s="39"/>
      <x:c r="P56" s="39"/>
      <x:c r="Q56" s="39"/>
      <x:c r="R56" s="39"/>
      <x:c r="S56" s="39"/>
      <x:c r="T56" s="39"/>
      <x:c r="U56" s="39"/>
      <x:c r="V56" s="39"/>
      <x:c r="W56" s="39"/>
      <x:c r="X56" s="39"/>
      <x:c r="Y56" s="39"/>
      <x:c r="Z56" s="39"/>
    </x:row>
    <x:row r="57">
      <x:c r="A57" s="43"/>
      <x:c r="B57" s="43"/>
      <x:c r="C57" s="43"/>
      <x:c r="D57" s="43"/>
      <x:c r="E57" s="43"/>
      <x:c r="F57" s="43"/>
      <x:c r="G57" s="43"/>
      <x:c r="H57" s="43"/>
      <x:c r="I57" s="43"/>
      <x:c r="J57" s="43"/>
      <x:c r="K57" s="43"/>
      <x:c r="L57" s="39"/>
      <x:c r="M57" s="39"/>
      <x:c r="N57" s="39"/>
      <x:c r="O57" s="39"/>
      <x:c r="P57" s="39"/>
      <x:c r="Q57" s="39"/>
      <x:c r="R57" s="39"/>
      <x:c r="S57" s="39"/>
      <x:c r="T57" s="39"/>
      <x:c r="U57" s="39"/>
      <x:c r="V57" s="39"/>
      <x:c r="W57" s="39"/>
      <x:c r="X57" s="39"/>
      <x:c r="Y57" s="39"/>
      <x:c r="Z57" s="39"/>
    </x:row>
    <x:row r="58">
      <x:c r="A58" s="43"/>
      <x:c r="B58" s="43"/>
      <x:c r="C58" s="43"/>
      <x:c r="D58" s="43"/>
      <x:c r="E58" s="43"/>
      <x:c r="F58" s="43"/>
      <x:c r="G58" s="43"/>
      <x:c r="H58" s="43"/>
      <x:c r="I58" s="43"/>
      <x:c r="J58" s="43"/>
      <x:c r="K58" s="43"/>
      <x:c r="L58" s="39"/>
      <x:c r="M58" s="39"/>
      <x:c r="N58" s="39"/>
      <x:c r="O58" s="39"/>
      <x:c r="P58" s="39"/>
      <x:c r="Q58" s="39"/>
      <x:c r="R58" s="39"/>
      <x:c r="S58" s="39"/>
      <x:c r="T58" s="39"/>
      <x:c r="U58" s="39"/>
      <x:c r="V58" s="39"/>
      <x:c r="W58" s="39"/>
      <x:c r="X58" s="39"/>
      <x:c r="Y58" s="39"/>
      <x:c r="Z58" s="39"/>
    </x:row>
    <x:row r="59">
      <x:c r="A59" s="43"/>
      <x:c r="B59" s="43"/>
      <x:c r="C59" s="43"/>
      <x:c r="D59" s="43"/>
      <x:c r="E59" s="43"/>
      <x:c r="F59" s="43"/>
      <x:c r="G59" s="43"/>
      <x:c r="H59" s="43"/>
      <x:c r="I59" s="43"/>
      <x:c r="J59" s="43"/>
      <x:c r="K59" s="43"/>
      <x:c r="L59" s="39"/>
      <x:c r="M59" s="39"/>
      <x:c r="N59" s="39"/>
      <x:c r="O59" s="39"/>
      <x:c r="P59" s="39"/>
      <x:c r="Q59" s="39"/>
      <x:c r="R59" s="39"/>
      <x:c r="S59" s="39"/>
      <x:c r="T59" s="39"/>
      <x:c r="U59" s="39"/>
      <x:c r="V59" s="39"/>
      <x:c r="W59" s="39"/>
      <x:c r="X59" s="39"/>
      <x:c r="Y59" s="39"/>
      <x:c r="Z59" s="39"/>
    </x:row>
    <x:row r="60">
      <x:c r="A60" s="43"/>
      <x:c r="B60" s="43"/>
      <x:c r="C60" s="43"/>
      <x:c r="D60" s="43"/>
      <x:c r="E60" s="43"/>
      <x:c r="F60" s="43"/>
      <x:c r="G60" s="43"/>
      <x:c r="H60" s="43"/>
      <x:c r="I60" s="43"/>
      <x:c r="J60" s="43"/>
      <x:c r="K60" s="43"/>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 ref="A12:H12"/>
    <x:mergeCell ref="A20:H20"/>
    <x:mergeCell ref="A21:H22"/>
    <x:mergeCell ref="A18: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80" hidden="0" customWidth="1"/>
  </x:cols>
  <x:sheetData>
    <x:row r="1">
      <x:c r="A1" s="220" t="str">
        <x:v>README - Workbook Usage</x:v>
      </x:c>
      <x:c r="B1" s="220" t="str"/>
      <x:c r="C1" s="43"/>
      <x:c r="D1" s="43"/>
      <x:c r="E1" s="43"/>
      <x:c r="F1" s="43"/>
      <x:c r="G1" s="43"/>
      <x:c r="H1" s="43"/>
      <x:c r="I1" s="43"/>
      <x:c r="J1" s="43"/>
      <x:c r="K1" s="43"/>
      <x:c r="L1" s="39"/>
      <x:c r="M1" s="39"/>
      <x:c r="N1" s="39"/>
      <x:c r="O1" s="39"/>
      <x:c r="P1" s="39"/>
      <x:c r="Q1" s="39"/>
      <x:c r="R1" s="39"/>
      <x:c r="S1" s="39"/>
      <x:c r="T1" s="39"/>
      <x:c r="U1" s="39"/>
      <x:c r="V1" s="39"/>
      <x:c r="W1" s="39"/>
      <x:c r="X1" s="39"/>
      <x:c r="Y1" s="39"/>
      <x:c r="Z1" s="39"/>
    </x:row>
    <x:row r="2">
      <x:c r="A2" s="43" t="str">
        <x:v>Workbook Role</x:v>
      </x:c>
      <x:c r="B2" s="43" t="str">
        <x:v>This workbook is the official continuity tracker for PUP MANET development. It must be updated after every completed step so a new chat conversation can continue from the latest known state.</x:v>
      </x:c>
      <x:c r="C2" s="43"/>
      <x:c r="D2" s="43"/>
      <x:c r="E2" s="43"/>
      <x:c r="F2" s="43"/>
      <x:c r="G2" s="43"/>
      <x:c r="H2" s="43"/>
      <x:c r="I2" s="43"/>
      <x:c r="J2" s="43"/>
      <x:c r="K2" s="43"/>
      <x:c r="L2" s="39"/>
      <x:c r="M2" s="39"/>
      <x:c r="N2" s="39"/>
      <x:c r="O2" s="39"/>
      <x:c r="P2" s="39"/>
      <x:c r="Q2" s="39"/>
      <x:c r="R2" s="39"/>
      <x:c r="S2" s="39"/>
      <x:c r="T2" s="39"/>
      <x:c r="U2" s="39"/>
      <x:c r="V2" s="39"/>
      <x:c r="W2" s="39"/>
      <x:c r="X2" s="39"/>
      <x:c r="Y2" s="39"/>
      <x:c r="Z2" s="39"/>
    </x:row>
    <x:row r="3">
      <x:c r="A3" s="40" t="str">
        <x:v>New Workflow</x:v>
      </x:c>
      <x:c r="B3" s="43" t="str">
        <x:v>Development will use GitHub plus Codex. The MacBook Pro M1 Max may use local Codex CLI, while Codex Cloud/GitHub may be used for pull request workflows.</x:v>
      </x:c>
      <x:c r="C3" s="43"/>
      <x:c r="D3" s="43"/>
      <x:c r="E3" s="43"/>
      <x:c r="F3" s="43"/>
      <x:c r="G3" s="43"/>
      <x:c r="H3" s="43"/>
      <x:c r="I3" s="43"/>
      <x:c r="J3" s="43"/>
      <x:c r="K3" s="43"/>
      <x:c r="L3" s="39"/>
      <x:c r="M3" s="39"/>
      <x:c r="N3" s="39"/>
      <x:c r="O3" s="39"/>
      <x:c r="P3" s="39"/>
      <x:c r="Q3" s="39"/>
      <x:c r="R3" s="39"/>
      <x:c r="S3" s="39"/>
      <x:c r="T3" s="39"/>
      <x:c r="U3" s="39"/>
      <x:c r="V3" s="39"/>
      <x:c r="W3" s="39"/>
      <x:c r="X3" s="39"/>
      <x:c r="Y3" s="39"/>
      <x:c r="Z3" s="39"/>
    </x:row>
    <x:row r="4">
      <x:c r="A4" s="40" t="str">
        <x:v>Development Order</x:v>
      </x:c>
      <x:c r="B4" s="43" t="str">
        <x:v>GitHub/Codex setup -&gt; Simulation -&gt; ESP32 PlatformIO code -&gt; Raspberry Pi gateway code -&gt; Android app -&gt; Integrated test campaign.</x:v>
      </x:c>
      <x:c r="C4" s="43"/>
      <x:c r="D4" s="43"/>
      <x:c r="E4" s="43"/>
      <x:c r="F4" s="43"/>
      <x:c r="G4" s="43"/>
      <x:c r="H4" s="43"/>
      <x:c r="I4" s="43"/>
      <x:c r="J4" s="43"/>
      <x:c r="K4" s="43"/>
      <x:c r="L4" s="39"/>
      <x:c r="M4" s="39"/>
      <x:c r="N4" s="39"/>
      <x:c r="O4" s="39"/>
      <x:c r="P4" s="39"/>
      <x:c r="Q4" s="39"/>
      <x:c r="R4" s="39"/>
      <x:c r="S4" s="39"/>
      <x:c r="T4" s="39"/>
      <x:c r="U4" s="39"/>
      <x:c r="V4" s="39"/>
      <x:c r="W4" s="39"/>
      <x:c r="X4" s="39"/>
      <x:c r="Y4" s="39"/>
      <x:c r="Z4" s="39"/>
    </x:row>
    <x:row r="5">
      <x:c r="A5" s="40" t="str">
        <x:v>Control Requirement</x:v>
      </x:c>
      <x:c r="B5" s="43" t="str">
        <x:v>The DOCX test procedures remain the controlling acceptance criteria: baseline, degradation, failover, sustained operation, and recovery.</x:v>
      </x:c>
      <x:c r="C5" s="43"/>
      <x:c r="D5" s="43"/>
      <x:c r="E5" s="43"/>
      <x:c r="F5" s="43"/>
      <x:c r="G5" s="43"/>
      <x:c r="H5" s="43"/>
      <x:c r="I5" s="43"/>
      <x:c r="J5" s="43"/>
      <x:c r="K5" s="43"/>
      <x:c r="L5" s="39"/>
      <x:c r="M5" s="39"/>
      <x:c r="N5" s="39"/>
      <x:c r="O5" s="39"/>
      <x:c r="P5" s="39"/>
      <x:c r="Q5" s="39"/>
      <x:c r="R5" s="39"/>
      <x:c r="S5" s="39"/>
      <x:c r="T5" s="39"/>
      <x:c r="U5" s="39"/>
      <x:c r="V5" s="39"/>
      <x:c r="W5" s="39"/>
      <x:c r="X5" s="39"/>
      <x:c r="Y5" s="39"/>
      <x:c r="Z5" s="39"/>
    </x:row>
    <x:row r="6">
      <x:c r="A6" s="40" t="str">
        <x:v>Current Active Sheet</x:v>
      </x:c>
      <x:c r="B6" s="43" t="str">
        <x:v>Use Dashboard, Phase Plan, Detailed Steps, Codex GitHub Workflow, Codex Task Prompts, and Progress Tracker.</x:v>
      </x:c>
      <x:c r="C6" s="43"/>
      <x:c r="D6" s="43"/>
      <x:c r="E6" s="43"/>
      <x:c r="F6" s="43"/>
      <x:c r="G6" s="43"/>
      <x:c r="H6" s="43"/>
      <x:c r="I6" s="43"/>
      <x:c r="J6" s="43"/>
      <x:c r="K6" s="43"/>
      <x:c r="L6" s="39"/>
      <x:c r="M6" s="39"/>
      <x:c r="N6" s="39"/>
      <x:c r="O6" s="39"/>
      <x:c r="P6" s="39"/>
      <x:c r="Q6" s="39"/>
      <x:c r="R6" s="39"/>
      <x:c r="S6" s="39"/>
      <x:c r="T6" s="39"/>
      <x:c r="U6" s="39"/>
      <x:c r="V6" s="39"/>
      <x:c r="W6" s="39"/>
      <x:c r="X6" s="39"/>
      <x:c r="Y6" s="39"/>
      <x:c r="Z6" s="39"/>
    </x:row>
    <x:row r="7">
      <x:c r="A7" s="40" t="str">
        <x:v>After Each Step</x:v>
      </x:c>
      <x:c r="B7" s="43" t="str">
        <x:v>Update Status, Actual Result, Date Completed, Evidence, Notes, Issue Log if needed, and commit workbook to GitHub.</x:v>
      </x:c>
      <x:c r="C7" s="43"/>
      <x:c r="D7" s="43"/>
      <x:c r="E7" s="43"/>
      <x:c r="F7" s="43"/>
      <x:c r="G7" s="43"/>
      <x:c r="H7" s="43"/>
      <x:c r="I7" s="43"/>
      <x:c r="J7" s="43"/>
      <x:c r="K7" s="43"/>
      <x:c r="L7" s="39"/>
      <x:c r="M7" s="39"/>
      <x:c r="N7" s="39"/>
      <x:c r="O7" s="39"/>
      <x:c r="P7" s="39"/>
      <x:c r="Q7" s="39"/>
      <x:c r="R7" s="39"/>
      <x:c r="S7" s="39"/>
      <x:c r="T7" s="39"/>
      <x:c r="U7" s="39"/>
      <x:c r="V7" s="39"/>
      <x:c r="W7" s="39"/>
      <x:c r="X7" s="39"/>
      <x:c r="Y7" s="39"/>
      <x:c r="Z7" s="39"/>
    </x:row>
    <x:row r="8">
      <x:c r="A8" s="40" t="str">
        <x:v>Codex Rule</x:v>
      </x:c>
      <x:c r="B8" s="43" t="str">
        <x:v>Every Codex prompt must reference the workbook step ID and must restrict Codex to the intended folder/files.</x:v>
      </x:c>
      <x:c r="C8" s="43"/>
      <x:c r="D8" s="43"/>
      <x:c r="E8" s="43"/>
      <x:c r="F8" s="43"/>
      <x:c r="G8" s="43"/>
      <x:c r="H8" s="43"/>
      <x:c r="I8" s="43"/>
      <x:c r="J8" s="43"/>
      <x:c r="K8" s="43"/>
      <x:c r="L8" s="39"/>
      <x:c r="M8" s="39"/>
      <x:c r="N8" s="39"/>
      <x:c r="O8" s="39"/>
      <x:c r="P8" s="39"/>
      <x:c r="Q8" s="39"/>
      <x:c r="R8" s="39"/>
      <x:c r="S8" s="39"/>
      <x:c r="T8" s="39"/>
      <x:c r="U8" s="39"/>
      <x:c r="V8" s="39"/>
      <x:c r="W8" s="39"/>
      <x:c r="X8" s="39"/>
      <x:c r="Y8" s="39"/>
      <x:c r="Z8" s="39"/>
    </x:row>
    <x:row r="9">
      <x:c r="A9" s="43" t="str">
        <x:v>Manual Testing</x:v>
      </x:c>
      <x:c r="B9" s="43" t="str">
        <x:v>The user will verify hardware behavior physically. Codex can assist with code and logs but cannot certify physical tests without user-provided evidence.</x:v>
      </x:c>
      <x:c r="C9" s="43"/>
      <x:c r="D9" s="43"/>
      <x:c r="E9" s="43"/>
      <x:c r="F9" s="43"/>
      <x:c r="G9" s="43"/>
      <x:c r="H9" s="43"/>
      <x:c r="I9" s="43"/>
      <x:c r="J9" s="43"/>
      <x:c r="K9" s="43"/>
      <x:c r="L9" s="39"/>
      <x:c r="M9" s="39"/>
      <x:c r="N9" s="39"/>
      <x:c r="O9" s="39"/>
      <x:c r="P9" s="39"/>
      <x:c r="Q9" s="39"/>
      <x:c r="R9" s="39"/>
      <x:c r="S9" s="39"/>
      <x:c r="T9" s="39"/>
      <x:c r="U9" s="39"/>
      <x:c r="V9" s="39"/>
      <x:c r="W9" s="39"/>
      <x:c r="X9" s="39"/>
      <x:c r="Y9" s="39"/>
      <x:c r="Z9" s="39"/>
    </x:row>
    <x:row r="10">
      <x:c r="A10" s="43" t="str">
        <x:v>Citations/Sources</x:v>
      </x:c>
      <x:c r="B10" s="43" t="str">
        <x:v>Official Codex references used for this workflow: https://developers.openai.com/codex/cloud , https://developers.openai.com/codex/integrations/github , https://developers.openai.com/codex/guides/agents-md</x:v>
      </x:c>
      <x:c r="C10" s="43"/>
      <x:c r="D10" s="43"/>
      <x:c r="E10" s="43"/>
      <x:c r="F10" s="43"/>
      <x:c r="G10" s="43"/>
      <x:c r="H10" s="43"/>
      <x:c r="I10" s="43"/>
      <x:c r="J10" s="43"/>
      <x:c r="K10" s="43"/>
      <x:c r="L10" s="39"/>
      <x:c r="M10" s="39"/>
      <x:c r="N10" s="39"/>
      <x:c r="O10" s="39"/>
      <x:c r="P10" s="39"/>
      <x:c r="Q10" s="39"/>
      <x:c r="R10" s="39"/>
      <x:c r="S10" s="39"/>
      <x:c r="T10" s="39"/>
      <x:c r="U10" s="39"/>
      <x:c r="V10" s="39"/>
      <x:c r="W10" s="39"/>
      <x:c r="X10" s="39"/>
      <x:c r="Y10" s="39"/>
      <x:c r="Z10" s="39"/>
    </x:row>
    <x:row r="11">
      <x:c r="A11" s="43"/>
      <x:c r="B11" s="43"/>
      <x:c r="C11" s="43"/>
      <x:c r="D11" s="43"/>
      <x:c r="E11" s="43"/>
      <x:c r="F11" s="43"/>
      <x:c r="G11" s="43"/>
      <x:c r="H11" s="43"/>
      <x:c r="I11" s="43"/>
      <x:c r="J11" s="43"/>
      <x:c r="K11" s="43"/>
      <x:c r="L11" s="39"/>
      <x:c r="M11" s="39"/>
      <x:c r="N11" s="39"/>
      <x:c r="O11" s="39"/>
      <x:c r="P11" s="39"/>
      <x:c r="Q11" s="39"/>
      <x:c r="R11" s="39"/>
      <x:c r="S11" s="39"/>
      <x:c r="T11" s="39"/>
      <x:c r="U11" s="39"/>
      <x:c r="V11" s="39"/>
      <x:c r="W11" s="39"/>
      <x:c r="X11" s="39"/>
      <x:c r="Y11" s="39"/>
      <x:c r="Z11" s="39"/>
    </x:row>
    <x:row r="12">
      <x:c r="A12" s="43"/>
      <x:c r="B12" s="43"/>
      <x:c r="C12" s="43"/>
      <x:c r="D12" s="43"/>
      <x:c r="E12" s="43"/>
      <x:c r="F12" s="43"/>
      <x:c r="G12" s="43"/>
      <x:c r="H12" s="43"/>
      <x:c r="I12" s="43"/>
      <x:c r="J12" s="43"/>
      <x:c r="K12" s="43"/>
      <x:c r="L12" s="39"/>
      <x:c r="M12" s="39"/>
      <x:c r="N12" s="39"/>
      <x:c r="O12" s="39"/>
      <x:c r="P12" s="39"/>
      <x:c r="Q12" s="39"/>
      <x:c r="R12" s="39"/>
      <x:c r="S12" s="39"/>
      <x:c r="T12" s="39"/>
      <x:c r="U12" s="39"/>
      <x:c r="V12" s="39"/>
      <x:c r="W12" s="39"/>
      <x:c r="X12" s="39"/>
      <x:c r="Y12" s="39"/>
      <x:c r="Z12" s="39"/>
    </x:row>
    <x:row r="13">
      <x:c r="A13" s="43"/>
      <x:c r="B13" s="43"/>
      <x:c r="C13" s="43"/>
      <x:c r="D13" s="43"/>
      <x:c r="E13" s="43"/>
      <x:c r="F13" s="43"/>
      <x:c r="G13" s="43"/>
      <x:c r="H13" s="43"/>
      <x:c r="I13" s="43"/>
      <x:c r="J13" s="43"/>
      <x:c r="K13" s="43"/>
      <x:c r="L13" s="39"/>
      <x:c r="M13" s="39"/>
      <x:c r="N13" s="39"/>
      <x:c r="O13" s="39"/>
      <x:c r="P13" s="39"/>
      <x:c r="Q13" s="39"/>
      <x:c r="R13" s="39"/>
      <x:c r="S13" s="39"/>
      <x:c r="T13" s="39"/>
      <x:c r="U13" s="39"/>
      <x:c r="V13" s="39"/>
      <x:c r="W13" s="39"/>
      <x:c r="X13" s="39"/>
      <x:c r="Y13" s="39"/>
      <x:c r="Z13" s="39"/>
    </x:row>
    <x:row r="14">
      <x:c r="A14" s="43"/>
      <x:c r="B14" s="43"/>
      <x:c r="C14" s="43"/>
      <x:c r="D14" s="43"/>
      <x:c r="E14" s="43"/>
      <x:c r="F14" s="43"/>
      <x:c r="G14" s="43"/>
      <x:c r="H14" s="43"/>
      <x:c r="I14" s="43"/>
      <x:c r="J14" s="43"/>
      <x:c r="K14" s="43"/>
      <x:c r="L14" s="39"/>
      <x:c r="M14" s="39"/>
      <x:c r="N14" s="39"/>
      <x:c r="O14" s="39"/>
      <x:c r="P14" s="39"/>
      <x:c r="Q14" s="39"/>
      <x:c r="R14" s="39"/>
      <x:c r="S14" s="39"/>
      <x:c r="T14" s="39"/>
      <x:c r="U14" s="39"/>
      <x:c r="V14" s="39"/>
      <x:c r="W14" s="39"/>
      <x:c r="X14" s="39"/>
      <x:c r="Y14" s="39"/>
      <x:c r="Z14" s="39"/>
    </x:row>
    <x:row r="15">
      <x:c r="A15" s="43"/>
      <x:c r="B15" s="43"/>
      <x:c r="C15" s="43"/>
      <x:c r="D15" s="43"/>
      <x:c r="E15" s="43"/>
      <x:c r="F15" s="43"/>
      <x:c r="G15" s="43"/>
      <x:c r="H15" s="43"/>
      <x:c r="I15" s="43"/>
      <x:c r="J15" s="43"/>
      <x:c r="K15" s="43"/>
      <x:c r="L15" s="39"/>
      <x:c r="M15" s="39"/>
      <x:c r="N15" s="39"/>
      <x:c r="O15" s="39"/>
      <x:c r="P15" s="39"/>
      <x:c r="Q15" s="39"/>
      <x:c r="R15" s="39"/>
      <x:c r="S15" s="39"/>
      <x:c r="T15" s="39"/>
      <x:c r="U15" s="39"/>
      <x:c r="V15" s="39"/>
      <x:c r="W15" s="39"/>
      <x:c r="X15" s="39"/>
      <x:c r="Y15" s="39"/>
      <x:c r="Z15" s="39"/>
    </x:row>
    <x:row r="16">
      <x:c r="A16" s="43"/>
      <x:c r="B16" s="43"/>
      <x:c r="C16" s="43"/>
      <x:c r="D16" s="43"/>
      <x:c r="E16" s="43"/>
      <x:c r="F16" s="43"/>
      <x:c r="G16" s="43"/>
      <x:c r="H16" s="43"/>
      <x:c r="I16" s="43"/>
      <x:c r="J16" s="43"/>
      <x:c r="K16" s="43"/>
      <x:c r="L16" s="39"/>
      <x:c r="M16" s="39"/>
      <x:c r="N16" s="39"/>
      <x:c r="O16" s="39"/>
      <x:c r="P16" s="39"/>
      <x:c r="Q16" s="39"/>
      <x:c r="R16" s="39"/>
      <x:c r="S16" s="39"/>
      <x:c r="T16" s="39"/>
      <x:c r="U16" s="39"/>
      <x:c r="V16" s="39"/>
      <x:c r="W16" s="39"/>
      <x:c r="X16" s="39"/>
      <x:c r="Y16" s="39"/>
      <x:c r="Z16" s="39"/>
    </x:row>
    <x:row r="17">
      <x:c r="A17" s="43"/>
      <x:c r="B17" s="43"/>
      <x:c r="C17" s="43"/>
      <x:c r="D17" s="43"/>
      <x:c r="E17" s="43"/>
      <x:c r="F17" s="43"/>
      <x:c r="G17" s="43"/>
      <x:c r="H17" s="43"/>
      <x:c r="I17" s="43"/>
      <x:c r="J17" s="43"/>
      <x:c r="K17" s="43"/>
      <x:c r="L17" s="39"/>
      <x:c r="M17" s="39"/>
      <x:c r="N17" s="39"/>
      <x:c r="O17" s="39"/>
      <x:c r="P17" s="39"/>
      <x:c r="Q17" s="39"/>
      <x:c r="R17" s="39"/>
      <x:c r="S17" s="39"/>
      <x:c r="T17" s="39"/>
      <x:c r="U17" s="39"/>
      <x:c r="V17" s="39"/>
      <x:c r="W17" s="39"/>
      <x:c r="X17" s="39"/>
      <x:c r="Y17" s="39"/>
      <x:c r="Z17" s="39"/>
    </x:row>
    <x:row r="18">
      <x:c r="A18" s="43"/>
      <x:c r="B18" s="43"/>
      <x:c r="C18" s="43"/>
      <x:c r="D18" s="43"/>
      <x:c r="E18" s="43"/>
      <x:c r="F18" s="43"/>
      <x:c r="G18" s="43"/>
      <x:c r="H18" s="43"/>
      <x:c r="I18" s="43"/>
      <x:c r="J18" s="43"/>
      <x:c r="K18" s="43"/>
      <x:c r="L18" s="39"/>
      <x:c r="M18" s="39"/>
      <x:c r="N18" s="39"/>
      <x:c r="O18" s="39"/>
      <x:c r="P18" s="39"/>
      <x:c r="Q18" s="39"/>
      <x:c r="R18" s="39"/>
      <x:c r="S18" s="39"/>
      <x:c r="T18" s="39"/>
      <x:c r="U18" s="39"/>
      <x:c r="V18" s="39"/>
      <x:c r="W18" s="39"/>
      <x:c r="X18" s="39"/>
      <x:c r="Y18" s="39"/>
      <x:c r="Z18" s="39"/>
    </x:row>
    <x:row r="19">
      <x:c r="A19" s="43"/>
      <x:c r="B19" s="43"/>
      <x:c r="C19" s="43"/>
      <x:c r="D19" s="43"/>
      <x:c r="E19" s="43"/>
      <x:c r="F19" s="43"/>
      <x:c r="G19" s="43"/>
      <x:c r="H19" s="43"/>
      <x:c r="I19" s="43"/>
      <x:c r="J19" s="43"/>
      <x:c r="K19" s="43"/>
      <x:c r="L19" s="39"/>
      <x:c r="M19" s="39"/>
      <x:c r="N19" s="39"/>
      <x:c r="O19" s="39"/>
      <x:c r="P19" s="39"/>
      <x:c r="Q19" s="39"/>
      <x:c r="R19" s="39"/>
      <x:c r="S19" s="39"/>
      <x:c r="T19" s="39"/>
      <x:c r="U19" s="39"/>
      <x:c r="V19" s="39"/>
      <x:c r="W19" s="39"/>
      <x:c r="X19" s="39"/>
      <x:c r="Y19" s="39"/>
      <x:c r="Z19" s="39"/>
    </x:row>
    <x:row r="20">
      <x:c r="A20" s="43"/>
      <x:c r="B20" s="43"/>
      <x:c r="C20" s="43"/>
      <x:c r="D20" s="43"/>
      <x:c r="E20" s="43"/>
      <x:c r="F20" s="43"/>
      <x:c r="G20" s="43"/>
      <x:c r="H20" s="43"/>
      <x:c r="I20" s="43"/>
      <x:c r="J20" s="43"/>
      <x:c r="K20" s="43"/>
      <x:c r="L20" s="39"/>
      <x:c r="M20" s="39"/>
      <x:c r="N20" s="39"/>
      <x:c r="O20" s="39"/>
      <x:c r="P20" s="39"/>
      <x:c r="Q20" s="39"/>
      <x:c r="R20" s="39"/>
      <x:c r="S20" s="39"/>
      <x:c r="T20" s="39"/>
      <x:c r="U20" s="39"/>
      <x:c r="V20" s="39"/>
      <x:c r="W20" s="39"/>
      <x:c r="X20" s="39"/>
      <x:c r="Y20" s="39"/>
      <x:c r="Z20" s="39"/>
    </x:row>
    <x:row r="21">
      <x:c r="A21" s="43"/>
      <x:c r="B21" s="43"/>
      <x:c r="C21" s="43"/>
      <x:c r="D21" s="43"/>
      <x:c r="E21" s="43"/>
      <x:c r="F21" s="43"/>
      <x:c r="G21" s="43"/>
      <x:c r="H21" s="43"/>
      <x:c r="I21" s="43"/>
      <x:c r="J21" s="43"/>
      <x:c r="K21" s="43"/>
      <x:c r="L21" s="39"/>
      <x:c r="M21" s="39"/>
      <x:c r="N21" s="39"/>
      <x:c r="O21" s="39"/>
      <x:c r="P21" s="39"/>
      <x:c r="Q21" s="39"/>
      <x:c r="R21" s="39"/>
      <x:c r="S21" s="39"/>
      <x:c r="T21" s="39"/>
      <x:c r="U21" s="39"/>
      <x:c r="V21" s="39"/>
      <x:c r="W21" s="39"/>
      <x:c r="X21" s="39"/>
      <x:c r="Y21" s="39"/>
      <x:c r="Z21" s="39"/>
    </x:row>
    <x:row r="22">
      <x:c r="A22" s="43"/>
      <x:c r="B22" s="43"/>
      <x:c r="C22" s="43"/>
      <x:c r="D22" s="43"/>
      <x:c r="E22" s="43"/>
      <x:c r="F22" s="43"/>
      <x:c r="G22" s="43"/>
      <x:c r="H22" s="43"/>
      <x:c r="I22" s="43"/>
      <x:c r="J22" s="43"/>
      <x:c r="K22" s="43"/>
      <x:c r="L22" s="39"/>
      <x:c r="M22" s="39"/>
      <x:c r="N22" s="39"/>
      <x:c r="O22" s="39"/>
      <x:c r="P22" s="39"/>
      <x:c r="Q22" s="39"/>
      <x:c r="R22" s="39"/>
      <x:c r="S22" s="39"/>
      <x:c r="T22" s="39"/>
      <x:c r="U22" s="39"/>
      <x:c r="V22" s="39"/>
      <x:c r="W22" s="39"/>
      <x:c r="X22" s="39"/>
      <x:c r="Y22" s="39"/>
      <x:c r="Z22" s="39"/>
    </x:row>
    <x:row r="23">
      <x:c r="A23" s="43"/>
      <x:c r="B23" s="43"/>
      <x:c r="C23" s="43"/>
      <x:c r="D23" s="43"/>
      <x:c r="E23" s="43"/>
      <x:c r="F23" s="43"/>
      <x:c r="G23" s="43"/>
      <x:c r="H23" s="43"/>
      <x:c r="I23" s="43"/>
      <x:c r="J23" s="43"/>
      <x:c r="K23" s="43"/>
      <x:c r="L23" s="39"/>
      <x:c r="M23" s="39"/>
      <x:c r="N23" s="39"/>
      <x:c r="O23" s="39"/>
      <x:c r="P23" s="39"/>
      <x:c r="Q23" s="39"/>
      <x:c r="R23" s="39"/>
      <x:c r="S23" s="39"/>
      <x:c r="T23" s="39"/>
      <x:c r="U23" s="39"/>
      <x:c r="V23" s="39"/>
      <x:c r="W23" s="39"/>
      <x:c r="X23" s="39"/>
      <x:c r="Y23" s="39"/>
      <x:c r="Z23" s="39"/>
    </x:row>
    <x:row r="24">
      <x:c r="A24" s="43"/>
      <x:c r="B24" s="43"/>
      <x:c r="C24" s="43"/>
      <x:c r="D24" s="43"/>
      <x:c r="E24" s="43"/>
      <x:c r="F24" s="43"/>
      <x:c r="G24" s="43"/>
      <x:c r="H24" s="43"/>
      <x:c r="I24" s="43"/>
      <x:c r="J24" s="43"/>
      <x:c r="K24" s="43"/>
      <x:c r="L24" s="39"/>
      <x:c r="M24" s="39"/>
      <x:c r="N24" s="39"/>
      <x:c r="O24" s="39"/>
      <x:c r="P24" s="39"/>
      <x:c r="Q24" s="39"/>
      <x:c r="R24" s="39"/>
      <x:c r="S24" s="39"/>
      <x:c r="T24" s="39"/>
      <x:c r="U24" s="39"/>
      <x:c r="V24" s="39"/>
      <x:c r="W24" s="39"/>
      <x:c r="X24" s="39"/>
      <x:c r="Y24" s="39"/>
      <x:c r="Z24" s="39"/>
    </x:row>
    <x:row r="25">
      <x:c r="A25" s="43"/>
      <x:c r="B25" s="43"/>
      <x:c r="C25" s="43"/>
      <x:c r="D25" s="43"/>
      <x:c r="E25" s="43"/>
      <x:c r="F25" s="43"/>
      <x:c r="G25" s="43"/>
      <x:c r="H25" s="43"/>
      <x:c r="I25" s="43"/>
      <x:c r="J25" s="43"/>
      <x:c r="K25" s="43"/>
      <x:c r="L25" s="39"/>
      <x:c r="M25" s="39"/>
      <x:c r="N25" s="39"/>
      <x:c r="O25" s="39"/>
      <x:c r="P25" s="39"/>
      <x:c r="Q25" s="39"/>
      <x:c r="R25" s="39"/>
      <x:c r="S25" s="39"/>
      <x:c r="T25" s="39"/>
      <x:c r="U25" s="39"/>
      <x:c r="V25" s="39"/>
      <x:c r="W25" s="39"/>
      <x:c r="X25" s="39"/>
      <x:c r="Y25" s="39"/>
      <x:c r="Z25" s="39"/>
    </x:row>
    <x:row r="26">
      <x:c r="A26" s="43"/>
      <x:c r="B26" s="43"/>
      <x:c r="C26" s="43"/>
      <x:c r="D26" s="43"/>
      <x:c r="E26" s="43"/>
      <x:c r="F26" s="43"/>
      <x:c r="G26" s="43"/>
      <x:c r="H26" s="43"/>
      <x:c r="I26" s="43"/>
      <x:c r="J26" s="43"/>
      <x:c r="K26" s="43"/>
      <x:c r="L26" s="39"/>
      <x:c r="M26" s="39"/>
      <x:c r="N26" s="39"/>
      <x:c r="O26" s="39"/>
      <x:c r="P26" s="39"/>
      <x:c r="Q26" s="39"/>
      <x:c r="R26" s="39"/>
      <x:c r="S26" s="39"/>
      <x:c r="T26" s="39"/>
      <x:c r="U26" s="39"/>
      <x:c r="V26" s="39"/>
      <x:c r="W26" s="39"/>
      <x:c r="X26" s="39"/>
      <x:c r="Y26" s="39"/>
      <x:c r="Z26" s="39"/>
    </x:row>
    <x:row r="27">
      <x:c r="A27" s="43"/>
      <x:c r="B27" s="43"/>
      <x:c r="C27" s="43"/>
      <x:c r="D27" s="43"/>
      <x:c r="E27" s="43"/>
      <x:c r="F27" s="43"/>
      <x:c r="G27" s="43"/>
      <x:c r="H27" s="43"/>
      <x:c r="I27" s="43"/>
      <x:c r="J27" s="43"/>
      <x:c r="K27" s="43"/>
      <x:c r="L27" s="39"/>
      <x:c r="M27" s="39"/>
      <x:c r="N27" s="39"/>
      <x:c r="O27" s="39"/>
      <x:c r="P27" s="39"/>
      <x:c r="Q27" s="39"/>
      <x:c r="R27" s="39"/>
      <x:c r="S27" s="39"/>
      <x:c r="T27" s="39"/>
      <x:c r="U27" s="39"/>
      <x:c r="V27" s="39"/>
      <x:c r="W27" s="39"/>
      <x:c r="X27" s="39"/>
      <x:c r="Y27" s="39"/>
      <x:c r="Z27" s="39"/>
    </x:row>
    <x:row r="28">
      <x:c r="A28" s="43"/>
      <x:c r="B28" s="43"/>
      <x:c r="C28" s="43"/>
      <x:c r="D28" s="43"/>
      <x:c r="E28" s="43"/>
      <x:c r="F28" s="43"/>
      <x:c r="G28" s="43"/>
      <x:c r="H28" s="43"/>
      <x:c r="I28" s="43"/>
      <x:c r="J28" s="43"/>
      <x:c r="K28" s="43"/>
      <x:c r="L28" s="39"/>
      <x:c r="M28" s="39"/>
      <x:c r="N28" s="39"/>
      <x:c r="O28" s="39"/>
      <x:c r="P28" s="39"/>
      <x:c r="Q28" s="39"/>
      <x:c r="R28" s="39"/>
      <x:c r="S28" s="39"/>
      <x:c r="T28" s="39"/>
      <x:c r="U28" s="39"/>
      <x:c r="V28" s="39"/>
      <x:c r="W28" s="39"/>
      <x:c r="X28" s="39"/>
      <x:c r="Y28" s="39"/>
      <x:c r="Z28" s="39"/>
    </x:row>
    <x:row r="29">
      <x:c r="A29" s="43"/>
      <x:c r="B29" s="43"/>
      <x:c r="C29" s="43"/>
      <x:c r="D29" s="43"/>
      <x:c r="E29" s="43"/>
      <x:c r="F29" s="43"/>
      <x:c r="G29" s="43"/>
      <x:c r="H29" s="43"/>
      <x:c r="I29" s="43"/>
      <x:c r="J29" s="43"/>
      <x:c r="K29" s="43"/>
      <x:c r="L29" s="39"/>
      <x:c r="M29" s="39"/>
      <x:c r="N29" s="39"/>
      <x:c r="O29" s="39"/>
      <x:c r="P29" s="39"/>
      <x:c r="Q29" s="39"/>
      <x:c r="R29" s="39"/>
      <x:c r="S29" s="39"/>
      <x:c r="T29" s="39"/>
      <x:c r="U29" s="39"/>
      <x:c r="V29" s="39"/>
      <x:c r="W29" s="39"/>
      <x:c r="X29" s="39"/>
      <x:c r="Y29" s="39"/>
      <x:c r="Z29" s="39"/>
    </x:row>
    <x:row r="30">
      <x:c r="A30" s="43"/>
      <x:c r="B30" s="43"/>
      <x:c r="C30" s="43"/>
      <x:c r="D30" s="43"/>
      <x:c r="E30" s="43"/>
      <x:c r="F30" s="43"/>
      <x:c r="G30" s="43"/>
      <x:c r="H30" s="43"/>
      <x:c r="I30" s="43"/>
      <x:c r="J30" s="43"/>
      <x:c r="K30" s="43"/>
      <x:c r="L30" s="39"/>
      <x:c r="M30" s="39"/>
      <x:c r="N30" s="39"/>
      <x:c r="O30" s="39"/>
      <x:c r="P30" s="39"/>
      <x:c r="Q30" s="39"/>
      <x:c r="R30" s="39"/>
      <x:c r="S30" s="39"/>
      <x:c r="T30" s="39"/>
      <x:c r="U30" s="39"/>
      <x:c r="V30" s="39"/>
      <x:c r="W30" s="39"/>
      <x:c r="X30" s="39"/>
      <x:c r="Y30" s="39"/>
      <x:c r="Z30" s="39"/>
    </x:row>
    <x:row r="31">
      <x:c r="A31" s="43"/>
      <x:c r="B31" s="43"/>
      <x:c r="C31" s="43"/>
      <x:c r="D31" s="43"/>
      <x:c r="E31" s="43"/>
      <x:c r="F31" s="43"/>
      <x:c r="G31" s="43"/>
      <x:c r="H31" s="43"/>
      <x:c r="I31" s="43"/>
      <x:c r="J31" s="43"/>
      <x:c r="K31" s="43"/>
      <x:c r="L31" s="39"/>
      <x:c r="M31" s="39"/>
      <x:c r="N31" s="39"/>
      <x:c r="O31" s="39"/>
      <x:c r="P31" s="39"/>
      <x:c r="Q31" s="39"/>
      <x:c r="R31" s="39"/>
      <x:c r="S31" s="39"/>
      <x:c r="T31" s="39"/>
      <x:c r="U31" s="39"/>
      <x:c r="V31" s="39"/>
      <x:c r="W31" s="39"/>
      <x:c r="X31" s="39"/>
      <x:c r="Y31" s="39"/>
      <x:c r="Z31" s="39"/>
    </x:row>
    <x:row r="32">
      <x:c r="A32" s="43"/>
      <x:c r="B32" s="43"/>
      <x:c r="C32" s="43"/>
      <x:c r="D32" s="43"/>
      <x:c r="E32" s="43"/>
      <x:c r="F32" s="43"/>
      <x:c r="G32" s="43"/>
      <x:c r="H32" s="43"/>
      <x:c r="I32" s="43"/>
      <x:c r="J32" s="43"/>
      <x:c r="K32" s="43"/>
      <x:c r="L32" s="39"/>
      <x:c r="M32" s="39"/>
      <x:c r="N32" s="39"/>
      <x:c r="O32" s="39"/>
      <x:c r="P32" s="39"/>
      <x:c r="Q32" s="39"/>
      <x:c r="R32" s="39"/>
      <x:c r="S32" s="39"/>
      <x:c r="T32" s="39"/>
      <x:c r="U32" s="39"/>
      <x:c r="V32" s="39"/>
      <x:c r="W32" s="39"/>
      <x:c r="X32" s="39"/>
      <x:c r="Y32" s="39"/>
      <x:c r="Z32" s="39"/>
    </x:row>
    <x:row r="33">
      <x:c r="A33" s="43"/>
      <x:c r="B33" s="43"/>
      <x:c r="C33" s="43"/>
      <x:c r="D33" s="43"/>
      <x:c r="E33" s="43"/>
      <x:c r="F33" s="43"/>
      <x:c r="G33" s="43"/>
      <x:c r="H33" s="43"/>
      <x:c r="I33" s="43"/>
      <x:c r="J33" s="43"/>
      <x:c r="K33" s="43"/>
      <x:c r="L33" s="39"/>
      <x:c r="M33" s="39"/>
      <x:c r="N33" s="39"/>
      <x:c r="O33" s="39"/>
      <x:c r="P33" s="39"/>
      <x:c r="Q33" s="39"/>
      <x:c r="R33" s="39"/>
      <x:c r="S33" s="39"/>
      <x:c r="T33" s="39"/>
      <x:c r="U33" s="39"/>
      <x:c r="V33" s="39"/>
      <x:c r="W33" s="39"/>
      <x:c r="X33" s="39"/>
      <x:c r="Y33" s="39"/>
      <x:c r="Z33" s="39"/>
    </x:row>
    <x:row r="34">
      <x:c r="A34" s="43"/>
      <x:c r="B34" s="43"/>
      <x:c r="C34" s="43"/>
      <x:c r="D34" s="43"/>
      <x:c r="E34" s="43"/>
      <x:c r="F34" s="43"/>
      <x:c r="G34" s="43"/>
      <x:c r="H34" s="43"/>
      <x:c r="I34" s="43"/>
      <x:c r="J34" s="43"/>
      <x:c r="K34" s="43"/>
      <x:c r="L34" s="39"/>
      <x:c r="M34" s="39"/>
      <x:c r="N34" s="39"/>
      <x:c r="O34" s="39"/>
      <x:c r="P34" s="39"/>
      <x:c r="Q34" s="39"/>
      <x:c r="R34" s="39"/>
      <x:c r="S34" s="39"/>
      <x:c r="T34" s="39"/>
      <x:c r="U34" s="39"/>
      <x:c r="V34" s="39"/>
      <x:c r="W34" s="39"/>
      <x:c r="X34" s="39"/>
      <x:c r="Y34" s="39"/>
      <x:c r="Z34" s="39"/>
    </x:row>
    <x:row r="35">
      <x:c r="A35" s="43"/>
      <x:c r="B35" s="43"/>
      <x:c r="C35" s="43"/>
      <x:c r="D35" s="43"/>
      <x:c r="E35" s="43"/>
      <x:c r="F35" s="43"/>
      <x:c r="G35" s="43"/>
      <x:c r="H35" s="43"/>
      <x:c r="I35" s="43"/>
      <x:c r="J35" s="43"/>
      <x:c r="K35" s="43"/>
      <x:c r="L35" s="39"/>
      <x:c r="M35" s="39"/>
      <x:c r="N35" s="39"/>
      <x:c r="O35" s="39"/>
      <x:c r="P35" s="39"/>
      <x:c r="Q35" s="39"/>
      <x:c r="R35" s="39"/>
      <x:c r="S35" s="39"/>
      <x:c r="T35" s="39"/>
      <x:c r="U35" s="39"/>
      <x:c r="V35" s="39"/>
      <x:c r="W35" s="39"/>
      <x:c r="X35" s="39"/>
      <x:c r="Y35" s="39"/>
      <x:c r="Z35" s="39"/>
    </x:row>
    <x:row r="36">
      <x:c r="A36" s="43"/>
      <x:c r="B36" s="43"/>
      <x:c r="C36" s="43"/>
      <x:c r="D36" s="43"/>
      <x:c r="E36" s="43"/>
      <x:c r="F36" s="43"/>
      <x:c r="G36" s="43"/>
      <x:c r="H36" s="43"/>
      <x:c r="I36" s="43"/>
      <x:c r="J36" s="43"/>
      <x:c r="K36" s="43"/>
      <x:c r="L36" s="39"/>
      <x:c r="M36" s="39"/>
      <x:c r="N36" s="39"/>
      <x:c r="O36" s="39"/>
      <x:c r="P36" s="39"/>
      <x:c r="Q36" s="39"/>
      <x:c r="R36" s="39"/>
      <x:c r="S36" s="39"/>
      <x:c r="T36" s="39"/>
      <x:c r="U36" s="39"/>
      <x:c r="V36" s="39"/>
      <x:c r="W36" s="39"/>
      <x:c r="X36" s="39"/>
      <x:c r="Y36" s="39"/>
      <x:c r="Z36" s="39"/>
    </x:row>
    <x:row r="37">
      <x:c r="A37" s="43"/>
      <x:c r="B37" s="43"/>
      <x:c r="C37" s="43"/>
      <x:c r="D37" s="43"/>
      <x:c r="E37" s="43"/>
      <x:c r="F37" s="43"/>
      <x:c r="G37" s="43"/>
      <x:c r="H37" s="43"/>
      <x:c r="I37" s="43"/>
      <x:c r="J37" s="43"/>
      <x:c r="K37" s="43"/>
      <x:c r="L37" s="39"/>
      <x:c r="M37" s="39"/>
      <x:c r="N37" s="39"/>
      <x:c r="O37" s="39"/>
      <x:c r="P37" s="39"/>
      <x:c r="Q37" s="39"/>
      <x:c r="R37" s="39"/>
      <x:c r="S37" s="39"/>
      <x:c r="T37" s="39"/>
      <x:c r="U37" s="39"/>
      <x:c r="V37" s="39"/>
      <x:c r="W37" s="39"/>
      <x:c r="X37" s="39"/>
      <x:c r="Y37" s="39"/>
      <x:c r="Z37" s="39"/>
    </x:row>
    <x:row r="38">
      <x:c r="A38" s="43"/>
      <x:c r="B38" s="43"/>
      <x:c r="C38" s="43"/>
      <x:c r="D38" s="43"/>
      <x:c r="E38" s="43"/>
      <x:c r="F38" s="43"/>
      <x:c r="G38" s="43"/>
      <x:c r="H38" s="43"/>
      <x:c r="I38" s="43"/>
      <x:c r="J38" s="43"/>
      <x:c r="K38" s="43"/>
      <x:c r="L38" s="39"/>
      <x:c r="M38" s="39"/>
      <x:c r="N38" s="39"/>
      <x:c r="O38" s="39"/>
      <x:c r="P38" s="39"/>
      <x:c r="Q38" s="39"/>
      <x:c r="R38" s="39"/>
      <x:c r="S38" s="39"/>
      <x:c r="T38" s="39"/>
      <x:c r="U38" s="39"/>
      <x:c r="V38" s="39"/>
      <x:c r="W38" s="39"/>
      <x:c r="X38" s="39"/>
      <x:c r="Y38" s="39"/>
      <x:c r="Z38" s="39"/>
    </x:row>
    <x:row r="39">
      <x:c r="A39" s="43"/>
      <x:c r="B39" s="43"/>
      <x:c r="C39" s="43"/>
      <x:c r="D39" s="43"/>
      <x:c r="E39" s="43"/>
      <x:c r="F39" s="43"/>
      <x:c r="G39" s="43"/>
      <x:c r="H39" s="43"/>
      <x:c r="I39" s="43"/>
      <x:c r="J39" s="43"/>
      <x:c r="K39" s="43"/>
      <x:c r="L39" s="39"/>
      <x:c r="M39" s="39"/>
      <x:c r="N39" s="39"/>
      <x:c r="O39" s="39"/>
      <x:c r="P39" s="39"/>
      <x:c r="Q39" s="39"/>
      <x:c r="R39" s="39"/>
      <x:c r="S39" s="39"/>
      <x:c r="T39" s="39"/>
      <x:c r="U39" s="39"/>
      <x:c r="V39" s="39"/>
      <x:c r="W39" s="39"/>
      <x:c r="X39" s="39"/>
      <x:c r="Y39" s="39"/>
      <x:c r="Z39" s="39"/>
    </x:row>
    <x:row r="40">
      <x:c r="A40" s="43"/>
      <x:c r="B40" s="43"/>
      <x:c r="C40" s="43"/>
      <x:c r="D40" s="43"/>
      <x:c r="E40" s="43"/>
      <x:c r="F40" s="43"/>
      <x:c r="G40" s="43"/>
      <x:c r="H40" s="43"/>
      <x:c r="I40" s="43"/>
      <x:c r="J40" s="43"/>
      <x:c r="K40" s="43"/>
      <x:c r="L40" s="39"/>
      <x:c r="M40" s="39"/>
      <x:c r="N40" s="39"/>
      <x:c r="O40" s="39"/>
      <x:c r="P40" s="39"/>
      <x:c r="Q40" s="39"/>
      <x:c r="R40" s="39"/>
      <x:c r="S40" s="39"/>
      <x:c r="T40" s="39"/>
      <x:c r="U40" s="39"/>
      <x:c r="V40" s="39"/>
      <x:c r="W40" s="39"/>
      <x:c r="X40" s="39"/>
      <x:c r="Y40" s="39"/>
      <x:c r="Z40" s="39"/>
    </x:row>
    <x:row r="41">
      <x:c r="A41" s="43"/>
      <x:c r="B41" s="43"/>
      <x:c r="C41" s="43"/>
      <x:c r="D41" s="43"/>
      <x:c r="E41" s="43"/>
      <x:c r="F41" s="43"/>
      <x:c r="G41" s="43"/>
      <x:c r="H41" s="43"/>
      <x:c r="I41" s="43"/>
      <x:c r="J41" s="43"/>
      <x:c r="K41" s="43"/>
      <x:c r="L41" s="39"/>
      <x:c r="M41" s="39"/>
      <x:c r="N41" s="39"/>
      <x:c r="O41" s="39"/>
      <x:c r="P41" s="39"/>
      <x:c r="Q41" s="39"/>
      <x:c r="R41" s="39"/>
      <x:c r="S41" s="39"/>
      <x:c r="T41" s="39"/>
      <x:c r="U41" s="39"/>
      <x:c r="V41" s="39"/>
      <x:c r="W41" s="39"/>
      <x:c r="X41" s="39"/>
      <x:c r="Y41" s="39"/>
      <x:c r="Z41" s="39"/>
    </x:row>
    <x:row r="42">
      <x:c r="A42" s="43"/>
      <x:c r="B42" s="43"/>
      <x:c r="C42" s="43"/>
      <x:c r="D42" s="43"/>
      <x:c r="E42" s="43"/>
      <x:c r="F42" s="43"/>
      <x:c r="G42" s="43"/>
      <x:c r="H42" s="43"/>
      <x:c r="I42" s="43"/>
      <x:c r="J42" s="43"/>
      <x:c r="K42" s="43"/>
      <x:c r="L42" s="39"/>
      <x:c r="M42" s="39"/>
      <x:c r="N42" s="39"/>
      <x:c r="O42" s="39"/>
      <x:c r="P42" s="39"/>
      <x:c r="Q42" s="39"/>
      <x:c r="R42" s="39"/>
      <x:c r="S42" s="39"/>
      <x:c r="T42" s="39"/>
      <x:c r="U42" s="39"/>
      <x:c r="V42" s="39"/>
      <x:c r="W42" s="39"/>
      <x:c r="X42" s="39"/>
      <x:c r="Y42" s="39"/>
      <x:c r="Z42" s="39"/>
    </x:row>
    <x:row r="43">
      <x:c r="A43" s="43"/>
      <x:c r="B43" s="43"/>
      <x:c r="C43" s="43"/>
      <x:c r="D43" s="43"/>
      <x:c r="E43" s="43"/>
      <x:c r="F43" s="43"/>
      <x:c r="G43" s="43"/>
      <x:c r="H43" s="43"/>
      <x:c r="I43" s="43"/>
      <x:c r="J43" s="43"/>
      <x:c r="K43" s="43"/>
      <x:c r="L43" s="39"/>
      <x:c r="M43" s="39"/>
      <x:c r="N43" s="39"/>
      <x:c r="O43" s="39"/>
      <x:c r="P43" s="39"/>
      <x:c r="Q43" s="39"/>
      <x:c r="R43" s="39"/>
      <x:c r="S43" s="39"/>
      <x:c r="T43" s="39"/>
      <x:c r="U43" s="39"/>
      <x:c r="V43" s="39"/>
      <x:c r="W43" s="39"/>
      <x:c r="X43" s="39"/>
      <x:c r="Y43" s="39"/>
      <x:c r="Z43" s="39"/>
    </x:row>
    <x:row r="44">
      <x:c r="A44" s="43"/>
      <x:c r="B44" s="43"/>
      <x:c r="C44" s="43"/>
      <x:c r="D44" s="43"/>
      <x:c r="E44" s="43"/>
      <x:c r="F44" s="43"/>
      <x:c r="G44" s="43"/>
      <x:c r="H44" s="43"/>
      <x:c r="I44" s="43"/>
      <x:c r="J44" s="43"/>
      <x:c r="K44" s="43"/>
      <x:c r="L44" s="39"/>
      <x:c r="M44" s="39"/>
      <x:c r="N44" s="39"/>
      <x:c r="O44" s="39"/>
      <x:c r="P44" s="39"/>
      <x:c r="Q44" s="39"/>
      <x:c r="R44" s="39"/>
      <x:c r="S44" s="39"/>
      <x:c r="T44" s="39"/>
      <x:c r="U44" s="39"/>
      <x:c r="V44" s="39"/>
      <x:c r="W44" s="39"/>
      <x:c r="X44" s="39"/>
      <x:c r="Y44" s="39"/>
      <x:c r="Z44" s="39"/>
    </x:row>
    <x:row r="45">
      <x:c r="A45" s="43"/>
      <x:c r="B45" s="43"/>
      <x:c r="C45" s="43"/>
      <x:c r="D45" s="43"/>
      <x:c r="E45" s="43"/>
      <x:c r="F45" s="43"/>
      <x:c r="G45" s="43"/>
      <x:c r="H45" s="43"/>
      <x:c r="I45" s="43"/>
      <x:c r="J45" s="43"/>
      <x:c r="K45" s="43"/>
      <x:c r="L45" s="39"/>
      <x:c r="M45" s="39"/>
      <x:c r="N45" s="39"/>
      <x:c r="O45" s="39"/>
      <x:c r="P45" s="39"/>
      <x:c r="Q45" s="39"/>
      <x:c r="R45" s="39"/>
      <x:c r="S45" s="39"/>
      <x:c r="T45" s="39"/>
      <x:c r="U45" s="39"/>
      <x:c r="V45" s="39"/>
      <x:c r="W45" s="39"/>
      <x:c r="X45" s="39"/>
      <x:c r="Y45" s="39"/>
      <x:c r="Z45" s="39"/>
    </x:row>
    <x:row r="46">
      <x:c r="A46" s="43"/>
      <x:c r="B46" s="43"/>
      <x:c r="C46" s="43"/>
      <x:c r="D46" s="43"/>
      <x:c r="E46" s="43"/>
      <x:c r="F46" s="43"/>
      <x:c r="G46" s="43"/>
      <x:c r="H46" s="43"/>
      <x:c r="I46" s="43"/>
      <x:c r="J46" s="43"/>
      <x:c r="K46" s="43"/>
      <x:c r="L46" s="39"/>
      <x:c r="M46" s="39"/>
      <x:c r="N46" s="39"/>
      <x:c r="O46" s="39"/>
      <x:c r="P46" s="39"/>
      <x:c r="Q46" s="39"/>
      <x:c r="R46" s="39"/>
      <x:c r="S46" s="39"/>
      <x:c r="T46" s="39"/>
      <x:c r="U46" s="39"/>
      <x:c r="V46" s="39"/>
      <x:c r="W46" s="39"/>
      <x:c r="X46" s="39"/>
      <x:c r="Y46" s="39"/>
      <x:c r="Z46" s="39"/>
    </x:row>
    <x:row r="47">
      <x:c r="A47" s="43"/>
      <x:c r="B47" s="43"/>
      <x:c r="C47" s="43"/>
      <x:c r="D47" s="43"/>
      <x:c r="E47" s="43"/>
      <x:c r="F47" s="43"/>
      <x:c r="G47" s="43"/>
      <x:c r="H47" s="43"/>
      <x:c r="I47" s="43"/>
      <x:c r="J47" s="43"/>
      <x:c r="K47" s="43"/>
      <x:c r="L47" s="39"/>
      <x:c r="M47" s="39"/>
      <x:c r="N47" s="39"/>
      <x:c r="O47" s="39"/>
      <x:c r="P47" s="39"/>
      <x:c r="Q47" s="39"/>
      <x:c r="R47" s="39"/>
      <x:c r="S47" s="39"/>
      <x:c r="T47" s="39"/>
      <x:c r="U47" s="39"/>
      <x:c r="V47" s="39"/>
      <x:c r="W47" s="39"/>
      <x:c r="X47" s="39"/>
      <x:c r="Y47" s="39"/>
      <x:c r="Z47" s="39"/>
    </x:row>
    <x:row r="48">
      <x:c r="A48" s="43"/>
      <x:c r="B48" s="43"/>
      <x:c r="C48" s="43"/>
      <x:c r="D48" s="43"/>
      <x:c r="E48" s="43"/>
      <x:c r="F48" s="43"/>
      <x:c r="G48" s="43"/>
      <x:c r="H48" s="43"/>
      <x:c r="I48" s="43"/>
      <x:c r="J48" s="43"/>
      <x:c r="K48" s="43"/>
      <x:c r="L48" s="39"/>
      <x:c r="M48" s="39"/>
      <x:c r="N48" s="39"/>
      <x:c r="O48" s="39"/>
      <x:c r="P48" s="39"/>
      <x:c r="Q48" s="39"/>
      <x:c r="R48" s="39"/>
      <x:c r="S48" s="39"/>
      <x:c r="T48" s="39"/>
      <x:c r="U48" s="39"/>
      <x:c r="V48" s="39"/>
      <x:c r="W48" s="39"/>
      <x:c r="X48" s="39"/>
      <x:c r="Y48" s="39"/>
      <x:c r="Z48" s="39"/>
    </x:row>
    <x:row r="49">
      <x:c r="A49" s="43"/>
      <x:c r="B49" s="43"/>
      <x:c r="C49" s="43"/>
      <x:c r="D49" s="43"/>
      <x:c r="E49" s="43"/>
      <x:c r="F49" s="43"/>
      <x:c r="G49" s="43"/>
      <x:c r="H49" s="43"/>
      <x:c r="I49" s="43"/>
      <x:c r="J49" s="43"/>
      <x:c r="K49" s="43"/>
      <x:c r="L49" s="39"/>
      <x:c r="M49" s="39"/>
      <x:c r="N49" s="39"/>
      <x:c r="O49" s="39"/>
      <x:c r="P49" s="39"/>
      <x:c r="Q49" s="39"/>
      <x:c r="R49" s="39"/>
      <x:c r="S49" s="39"/>
      <x:c r="T49" s="39"/>
      <x:c r="U49" s="39"/>
      <x:c r="V49" s="39"/>
      <x:c r="W49" s="39"/>
      <x:c r="X49" s="39"/>
      <x:c r="Y49" s="39"/>
      <x:c r="Z49" s="39"/>
    </x:row>
    <x:row r="50">
      <x:c r="A50" s="43"/>
      <x:c r="B50" s="43"/>
      <x:c r="C50" s="43"/>
      <x:c r="D50" s="43"/>
      <x:c r="E50" s="43"/>
      <x:c r="F50" s="43"/>
      <x:c r="G50" s="43"/>
      <x:c r="H50" s="43"/>
      <x:c r="I50" s="43"/>
      <x:c r="J50" s="43"/>
      <x:c r="K50" s="43"/>
      <x:c r="L50" s="39"/>
      <x:c r="M50" s="39"/>
      <x:c r="N50" s="39"/>
      <x:c r="O50" s="39"/>
      <x:c r="P50" s="39"/>
      <x:c r="Q50" s="39"/>
      <x:c r="R50" s="39"/>
      <x:c r="S50" s="39"/>
      <x:c r="T50" s="39"/>
      <x:c r="U50" s="39"/>
      <x:c r="V50" s="39"/>
      <x:c r="W50" s="39"/>
      <x:c r="X50" s="39"/>
      <x:c r="Y50" s="39"/>
      <x:c r="Z50" s="39"/>
    </x:row>
    <x:row r="51">
      <x:c r="A51" s="43"/>
      <x:c r="B51" s="43"/>
      <x:c r="C51" s="43"/>
      <x:c r="D51" s="43"/>
      <x:c r="E51" s="43"/>
      <x:c r="F51" s="43"/>
      <x:c r="G51" s="43"/>
      <x:c r="H51" s="43"/>
      <x:c r="I51" s="43"/>
      <x:c r="J51" s="43"/>
      <x:c r="K51" s="43"/>
      <x:c r="L51" s="39"/>
      <x:c r="M51" s="39"/>
      <x:c r="N51" s="39"/>
      <x:c r="O51" s="39"/>
      <x:c r="P51" s="39"/>
      <x:c r="Q51" s="39"/>
      <x:c r="R51" s="39"/>
      <x:c r="S51" s="39"/>
      <x:c r="T51" s="39"/>
      <x:c r="U51" s="39"/>
      <x:c r="V51" s="39"/>
      <x:c r="W51" s="39"/>
      <x:c r="X51" s="39"/>
      <x:c r="Y51" s="39"/>
      <x:c r="Z51" s="39"/>
    </x:row>
    <x:row r="52">
      <x:c r="A52" s="43"/>
      <x:c r="B52" s="43"/>
      <x:c r="C52" s="43"/>
      <x:c r="D52" s="43"/>
      <x:c r="E52" s="43"/>
      <x:c r="F52" s="43"/>
      <x:c r="G52" s="43"/>
      <x:c r="H52" s="43"/>
      <x:c r="I52" s="43"/>
      <x:c r="J52" s="43"/>
      <x:c r="K52" s="43"/>
      <x:c r="L52" s="39"/>
      <x:c r="M52" s="39"/>
      <x:c r="N52" s="39"/>
      <x:c r="O52" s="39"/>
      <x:c r="P52" s="39"/>
      <x:c r="Q52" s="39"/>
      <x:c r="R52" s="39"/>
      <x:c r="S52" s="39"/>
      <x:c r="T52" s="39"/>
      <x:c r="U52" s="39"/>
      <x:c r="V52" s="39"/>
      <x:c r="W52" s="39"/>
      <x:c r="X52" s="39"/>
      <x:c r="Y52" s="39"/>
      <x:c r="Z52" s="39"/>
    </x:row>
    <x:row r="53">
      <x:c r="A53" s="43"/>
      <x:c r="B53" s="43"/>
      <x:c r="C53" s="43"/>
      <x:c r="D53" s="43"/>
      <x:c r="E53" s="43"/>
      <x:c r="F53" s="43"/>
      <x:c r="G53" s="43"/>
      <x:c r="H53" s="43"/>
      <x:c r="I53" s="43"/>
      <x:c r="J53" s="43"/>
      <x:c r="K53" s="43"/>
      <x:c r="L53" s="39"/>
      <x:c r="M53" s="39"/>
      <x:c r="N53" s="39"/>
      <x:c r="O53" s="39"/>
      <x:c r="P53" s="39"/>
      <x:c r="Q53" s="39"/>
      <x:c r="R53" s="39"/>
      <x:c r="S53" s="39"/>
      <x:c r="T53" s="39"/>
      <x:c r="U53" s="39"/>
      <x:c r="V53" s="39"/>
      <x:c r="W53" s="39"/>
      <x:c r="X53" s="39"/>
      <x:c r="Y53" s="39"/>
      <x:c r="Z53" s="39"/>
    </x:row>
    <x:row r="54">
      <x:c r="A54" s="43"/>
      <x:c r="B54" s="43"/>
      <x:c r="C54" s="43"/>
      <x:c r="D54" s="43"/>
      <x:c r="E54" s="43"/>
      <x:c r="F54" s="43"/>
      <x:c r="G54" s="43"/>
      <x:c r="H54" s="43"/>
      <x:c r="I54" s="43"/>
      <x:c r="J54" s="43"/>
      <x:c r="K54" s="43"/>
      <x:c r="L54" s="39"/>
      <x:c r="M54" s="39"/>
      <x:c r="N54" s="39"/>
      <x:c r="O54" s="39"/>
      <x:c r="P54" s="39"/>
      <x:c r="Q54" s="39"/>
      <x:c r="R54" s="39"/>
      <x:c r="S54" s="39"/>
      <x:c r="T54" s="39"/>
      <x:c r="U54" s="39"/>
      <x:c r="V54" s="39"/>
      <x:c r="W54" s="39"/>
      <x:c r="X54" s="39"/>
      <x:c r="Y54" s="39"/>
      <x:c r="Z54" s="39"/>
    </x:row>
    <x:row r="55">
      <x:c r="A55" s="43"/>
      <x:c r="B55" s="43"/>
      <x:c r="C55" s="43"/>
      <x:c r="D55" s="43"/>
      <x:c r="E55" s="43"/>
      <x:c r="F55" s="43"/>
      <x:c r="G55" s="43"/>
      <x:c r="H55" s="43"/>
      <x:c r="I55" s="43"/>
      <x:c r="J55" s="43"/>
      <x:c r="K55" s="43"/>
      <x:c r="L55" s="39"/>
      <x:c r="M55" s="39"/>
      <x:c r="N55" s="39"/>
      <x:c r="O55" s="39"/>
      <x:c r="P55" s="39"/>
      <x:c r="Q55" s="39"/>
      <x:c r="R55" s="39"/>
      <x:c r="S55" s="39"/>
      <x:c r="T55" s="39"/>
      <x:c r="U55" s="39"/>
      <x:c r="V55" s="39"/>
      <x:c r="W55" s="39"/>
      <x:c r="X55" s="39"/>
      <x:c r="Y55" s="39"/>
      <x:c r="Z55" s="39"/>
    </x:row>
    <x:row r="56">
      <x:c r="A56" s="43"/>
      <x:c r="B56" s="43"/>
      <x:c r="C56" s="43"/>
      <x:c r="D56" s="43"/>
      <x:c r="E56" s="43"/>
      <x:c r="F56" s="43"/>
      <x:c r="G56" s="43"/>
      <x:c r="H56" s="43"/>
      <x:c r="I56" s="43"/>
      <x:c r="J56" s="43"/>
      <x:c r="K56" s="43"/>
      <x:c r="L56" s="39"/>
      <x:c r="M56" s="39"/>
      <x:c r="N56" s="39"/>
      <x:c r="O56" s="39"/>
      <x:c r="P56" s="39"/>
      <x:c r="Q56" s="39"/>
      <x:c r="R56" s="39"/>
      <x:c r="S56" s="39"/>
      <x:c r="T56" s="39"/>
      <x:c r="U56" s="39"/>
      <x:c r="V56" s="39"/>
      <x:c r="W56" s="39"/>
      <x:c r="X56" s="39"/>
      <x:c r="Y56" s="39"/>
      <x:c r="Z56" s="39"/>
    </x:row>
    <x:row r="57">
      <x:c r="A57" s="43"/>
      <x:c r="B57" s="43"/>
      <x:c r="C57" s="43"/>
      <x:c r="D57" s="43"/>
      <x:c r="E57" s="43"/>
      <x:c r="F57" s="43"/>
      <x:c r="G57" s="43"/>
      <x:c r="H57" s="43"/>
      <x:c r="I57" s="43"/>
      <x:c r="J57" s="43"/>
      <x:c r="K57" s="43"/>
      <x:c r="L57" s="39"/>
      <x:c r="M57" s="39"/>
      <x:c r="N57" s="39"/>
      <x:c r="O57" s="39"/>
      <x:c r="P57" s="39"/>
      <x:c r="Q57" s="39"/>
      <x:c r="R57" s="39"/>
      <x:c r="S57" s="39"/>
      <x:c r="T57" s="39"/>
      <x:c r="U57" s="39"/>
      <x:c r="V57" s="39"/>
      <x:c r="W57" s="39"/>
      <x:c r="X57" s="39"/>
      <x:c r="Y57" s="39"/>
      <x:c r="Z57" s="39"/>
    </x:row>
    <x:row r="58">
      <x:c r="A58" s="43"/>
      <x:c r="B58" s="43"/>
      <x:c r="C58" s="43"/>
      <x:c r="D58" s="43"/>
      <x:c r="E58" s="43"/>
      <x:c r="F58" s="43"/>
      <x:c r="G58" s="43"/>
      <x:c r="H58" s="43"/>
      <x:c r="I58" s="43"/>
      <x:c r="J58" s="43"/>
      <x:c r="K58" s="43"/>
      <x:c r="L58" s="39"/>
      <x:c r="M58" s="39"/>
      <x:c r="N58" s="39"/>
      <x:c r="O58" s="39"/>
      <x:c r="P58" s="39"/>
      <x:c r="Q58" s="39"/>
      <x:c r="R58" s="39"/>
      <x:c r="S58" s="39"/>
      <x:c r="T58" s="39"/>
      <x:c r="U58" s="39"/>
      <x:c r="V58" s="39"/>
      <x:c r="W58" s="39"/>
      <x:c r="X58" s="39"/>
      <x:c r="Y58" s="39"/>
      <x:c r="Z58" s="39"/>
    </x:row>
    <x:row r="59">
      <x:c r="A59" s="43"/>
      <x:c r="B59" s="43"/>
      <x:c r="C59" s="43"/>
      <x:c r="D59" s="43"/>
      <x:c r="E59" s="43"/>
      <x:c r="F59" s="43"/>
      <x:c r="G59" s="43"/>
      <x:c r="H59" s="43"/>
      <x:c r="I59" s="43"/>
      <x:c r="J59" s="43"/>
      <x:c r="K59" s="43"/>
      <x:c r="L59" s="39"/>
      <x:c r="M59" s="39"/>
      <x:c r="N59" s="39"/>
      <x:c r="O59" s="39"/>
      <x:c r="P59" s="39"/>
      <x:c r="Q59" s="39"/>
      <x:c r="R59" s="39"/>
      <x:c r="S59" s="39"/>
      <x:c r="T59" s="39"/>
      <x:c r="U59" s="39"/>
      <x:c r="V59" s="39"/>
      <x:c r="W59" s="39"/>
      <x:c r="X59" s="39"/>
      <x:c r="Y59" s="39"/>
      <x:c r="Z59" s="39"/>
    </x:row>
    <x:row r="60">
      <x:c r="A60" s="43"/>
      <x:c r="B60" s="43"/>
      <x:c r="C60" s="43"/>
      <x:c r="D60" s="43"/>
      <x:c r="E60" s="43"/>
      <x:c r="F60" s="43"/>
      <x:c r="G60" s="43"/>
      <x:c r="H60" s="43"/>
      <x:c r="I60" s="43"/>
      <x:c r="J60" s="43"/>
      <x:c r="K60" s="43"/>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42" hidden="0" customWidth="1"/>
    <x:col min="3" max="3" width="45" hidden="0" customWidth="1"/>
    <x:col min="4" max="4" width="18" hidden="0" customWidth="1"/>
    <x:col min="5" max="5" width="15" hidden="0" customWidth="1"/>
    <x:col min="6" max="6" width="18" hidden="0" customWidth="1"/>
    <x:col min="7" max="7" width="16" hidden="0" customWidth="1"/>
    <x:col min="8" max="8" width="24" hidden="0" customWidth="1"/>
  </x:cols>
  <x:sheetData>
    <x:row r="1">
      <x:c r="A1" s="170" t="str">
        <x:v>PUP MANET Test-Aligned Architecture Summary</x:v>
      </x:c>
      <x:c r="B1" s="43"/>
      <x:c r="C1" s="43"/>
      <x:c r="D1" s="43"/>
      <x:c r="E1" s="43"/>
      <x:c r="F1" s="43"/>
      <x:c r="G1" s="43"/>
      <x:c r="H1" s="43"/>
      <x:c r="I1" s="39"/>
      <x:c r="J1" s="39"/>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169" t="str">
        <x:v>Item</x:v>
      </x:c>
      <x:c r="B3" s="169" t="str">
        <x:v>Updated Test-Aligned Decision</x:v>
      </x:c>
      <x:c r="C3" s="169" t="str">
        <x:v>Reason / Acceptance Link</x:v>
      </x:c>
      <x:c r="D3" s="169" t="str">
        <x:v>Status</x:v>
      </x:c>
      <x:c r="E3" s="169" t="str">
        <x:v>Owner</x:v>
      </x:c>
      <x:c r="F3" s="169" t="str">
        <x:v>Evidence</x:v>
      </x:c>
      <x:c r="G3" s="169" t="str">
        <x:v>Date Completed</x:v>
      </x:c>
      <x:c r="H3" s="169" t="str">
        <x:v>Notes</x:v>
      </x:c>
      <x:c r="I3" s="39"/>
      <x:c r="J3" s="39"/>
      <x:c r="K3" s="39"/>
      <x:c r="L3" s="39"/>
      <x:c r="M3" s="39"/>
      <x:c r="N3" s="39"/>
      <x:c r="O3" s="39"/>
      <x:c r="P3" s="39"/>
      <x:c r="Q3" s="39"/>
      <x:c r="R3" s="39"/>
      <x:c r="S3" s="39"/>
      <x:c r="T3" s="39"/>
      <x:c r="U3" s="39"/>
      <x:c r="V3" s="39"/>
      <x:c r="W3" s="39"/>
      <x:c r="X3" s="39"/>
      <x:c r="Y3" s="39"/>
      <x:c r="Z3" s="39"/>
    </x:row>
    <x:row r="4">
      <x:c r="A4" t="str">
        <x:v>Primary validated path</x:v>
      </x:c>
      <x:c r="B4" t="str">
        <x:v>Android App → Bluetooth → ESP32 LoRa Node → LoRa MANET → Raspberry Pi Gateway → WiFi-router simulated satellite → Remote Gateway → LoRa MANET → Bluetooth → Android App</x:v>
      </x:c>
      <x:c r="C4" t="str">
        <x:v>Directly exercises baseline, failover, store-forward, recovery, and end-to-end delivery tests.</x:v>
      </x:c>
      <x:c r="D4" t="str">
        <x:v>Approved for Phase 1</x:v>
      </x:c>
      <x:c r="E4" t="str"/>
      <x:c r="F4" t="str"/>
      <x:c r="G4" t="str"/>
      <x:c r="H4" t="str"/>
      <x:c r="I4" s="39"/>
      <x:c r="J4" s="39"/>
      <x:c r="K4" s="39"/>
      <x:c r="L4" s="39"/>
      <x:c r="M4" s="39"/>
      <x:c r="N4" s="39"/>
      <x:c r="O4" s="39"/>
      <x:c r="P4" s="39"/>
      <x:c r="Q4" s="39"/>
      <x:c r="R4" s="39"/>
      <x:c r="S4" s="39"/>
      <x:c r="T4" s="39"/>
      <x:c r="U4" s="39"/>
      <x:c r="V4" s="39"/>
      <x:c r="W4" s="39"/>
      <x:c r="X4" s="39"/>
      <x:c r="Y4" s="39"/>
      <x:c r="Z4" s="39"/>
    </x:row>
    <x:row r="5">
      <x:c r="A5" t="str">
        <x:v>Node pairing</x:v>
      </x:c>
      <x:c r="B5" t="str">
        <x:v>Each MANET node is paired to one Android phone over Bluetooth.</x:v>
      </x:c>
      <x:c r="C5" t="str">
        <x:v>Ensures Android messaging app can still inject messages to LoRa when WiFi/GSM are unavailable.</x:v>
      </x:c>
      <x:c r="D5" t="str">
        <x:v>Approved</x:v>
      </x:c>
      <x:c r="E5" t="str"/>
      <x:c r="F5" t="str"/>
      <x:c r="G5" t="str"/>
      <x:c r="H5" t="str"/>
      <x:c r="I5" s="39"/>
      <x:c r="J5" s="39"/>
      <x:c r="K5" s="39"/>
      <x:c r="L5" s="39"/>
      <x:c r="M5" s="39"/>
      <x:c r="N5" s="39"/>
      <x:c r="O5" s="39"/>
      <x:c r="P5" s="39"/>
      <x:c r="Q5" s="39"/>
      <x:c r="R5" s="39"/>
      <x:c r="S5" s="39"/>
      <x:c r="T5" s="39"/>
      <x:c r="U5" s="39"/>
      <x:c r="V5" s="39"/>
      <x:c r="W5" s="39"/>
      <x:c r="X5" s="39"/>
      <x:c r="Y5" s="39"/>
      <x:c r="Z5" s="39"/>
    </x:row>
    <x:row r="6">
      <x:c r="A6" t="str">
        <x:v>Manual network selection</x:v>
      </x:c>
      <x:c r="B6" t="str">
        <x:v>Android app shall support Auto, LoRa, WiFi, and GSM selection.</x:v>
      </x:c>
      <x:c r="C6" t="str">
        <x:v>Extra feature allowed but must not interfere with DOCX validation path.</x:v>
      </x:c>
      <x:c r="D6" t="str">
        <x:v>Approved</x:v>
      </x:c>
      <x:c r="E6" t="str"/>
      <x:c r="F6" t="str"/>
      <x:c r="G6" t="str"/>
      <x:c r="H6" t="str"/>
      <x:c r="I6" s="39"/>
      <x:c r="J6" s="39"/>
      <x:c r="K6" s="39"/>
      <x:c r="L6" s="39"/>
      <x:c r="M6" s="39"/>
      <x:c r="N6" s="39"/>
      <x:c r="O6" s="39"/>
      <x:c r="P6" s="39"/>
      <x:c r="Q6" s="39"/>
      <x:c r="R6" s="39"/>
      <x:c r="S6" s="39"/>
      <x:c r="T6" s="39"/>
      <x:c r="U6" s="39"/>
      <x:c r="V6" s="39"/>
      <x:c r="W6" s="39"/>
      <x:c r="X6" s="39"/>
      <x:c r="Y6" s="39"/>
      <x:c r="Z6" s="39"/>
    </x:row>
    <x:row r="7">
      <x:c r="A7" t="str">
        <x:v>Auto mode behavior</x:v>
      </x:c>
      <x:c r="B7" t="str">
        <x:v>Auto mode checks WiFi, GSM, and Bluetooth/LoRa availability, then selects best available route.</x:v>
      </x:c>
      <x:c r="C7" t="str">
        <x:v>Allows failover decisions while preserving manual test control.</x:v>
      </x:c>
      <x:c r="D7" t="str">
        <x:v>Approved</x:v>
      </x:c>
      <x:c r="E7" t="str"/>
      <x:c r="F7" t="str"/>
      <x:c r="G7" t="str"/>
      <x:c r="H7" t="str"/>
      <x:c r="I7" s="39"/>
      <x:c r="J7" s="39"/>
      <x:c r="K7" s="39"/>
      <x:c r="L7" s="39"/>
      <x:c r="M7" s="39"/>
      <x:c r="N7" s="39"/>
      <x:c r="O7" s="39"/>
      <x:c r="P7" s="39"/>
      <x:c r="Q7" s="39"/>
      <x:c r="R7" s="39"/>
      <x:c r="S7" s="39"/>
      <x:c r="T7" s="39"/>
      <x:c r="U7" s="39"/>
      <x:c r="V7" s="39"/>
      <x:c r="W7" s="39"/>
      <x:c r="X7" s="39"/>
      <x:c r="Y7" s="39"/>
      <x:c r="Z7" s="39"/>
    </x:row>
    <x:row r="8">
      <x:c r="A8" t="str">
        <x:v>Failover trigger</x:v>
      </x:c>
      <x:c r="B8" t="str">
        <x:v>RSSI below -78 dBm for 10 seconds OR route/ACK timeout triggers failover to simulated satellite path.</x:v>
      </x:c>
      <x:c r="C8" t="str">
        <x:v>Matches network degradation and failover activation procedures.</x:v>
      </x:c>
      <x:c r="D8" t="str">
        <x:v>Approved</x:v>
      </x:c>
      <x:c r="E8" t="str"/>
      <x:c r="F8" t="str"/>
      <x:c r="G8" t="str"/>
      <x:c r="H8" t="str"/>
      <x:c r="I8" s="39"/>
      <x:c r="J8" s="39"/>
      <x:c r="K8" s="39"/>
      <x:c r="L8" s="39"/>
      <x:c r="M8" s="39"/>
      <x:c r="N8" s="39"/>
      <x:c r="O8" s="39"/>
      <x:c r="P8" s="39"/>
      <x:c r="Q8" s="39"/>
      <x:c r="R8" s="39"/>
      <x:c r="S8" s="39"/>
      <x:c r="T8" s="39"/>
      <x:c r="U8" s="39"/>
      <x:c r="V8" s="39"/>
      <x:c r="W8" s="39"/>
      <x:c r="X8" s="39"/>
      <x:c r="Y8" s="39"/>
      <x:c r="Z8" s="39"/>
    </x:row>
    <x:row r="9">
      <x:c r="A9" t="str">
        <x:v>Recovery trigger</x:v>
      </x:c>
      <x:c r="B9" t="str">
        <x:v>Primary MANET route stable for 10 seconds triggers return to MANET; target switchback ≤5 seconds.</x:v>
      </x:c>
      <x:c r="C9" t="str">
        <x:v>Matches recovery/reversion test procedure.</x:v>
      </x:c>
      <x:c r="D9" t="str">
        <x:v>Approved</x:v>
      </x:c>
      <x:c r="E9" t="str"/>
      <x:c r="F9" t="str"/>
      <x:c r="G9" t="str"/>
      <x:c r="H9" t="str"/>
      <x:c r="I9" s="39"/>
      <x:c r="J9" s="39"/>
      <x:c r="K9" s="39"/>
      <x:c r="L9" s="39"/>
      <x:c r="M9" s="39"/>
      <x:c r="N9" s="39"/>
      <x:c r="O9" s="39"/>
      <x:c r="P9" s="39"/>
      <x:c r="Q9" s="39"/>
      <x:c r="R9" s="39"/>
      <x:c r="S9" s="39"/>
      <x:c r="T9" s="39"/>
      <x:c r="U9" s="39"/>
      <x:c r="V9" s="39"/>
      <x:c r="W9" s="39"/>
      <x:c r="X9" s="39"/>
      <x:c r="Y9" s="39"/>
      <x:c r="Z9" s="39"/>
    </x:row>
    <x:row r="10">
      <x:c r="A10" t="str">
        <x:v>Message not found locally</x:v>
      </x:c>
      <x:c r="B10" t="str">
        <x:v>If destination is not in current MANET network, gateway forwards message to next network through simulated satellite path.</x:v>
      </x:c>
      <x:c r="C10" t="str">
        <x:v>Implements cross-network routing requirement.</x:v>
      </x:c>
      <x:c r="D10" t="str">
        <x:v>Approved</x:v>
      </x:c>
      <x:c r="E10" t="str"/>
      <x:c r="F10" t="str"/>
      <x:c r="G10" t="str"/>
      <x:c r="H10" t="str"/>
      <x:c r="I10" s="39"/>
      <x:c r="J10" s="39"/>
      <x:c r="K10" s="39"/>
      <x:c r="L10" s="39"/>
      <x:c r="M10" s="39"/>
      <x:c r="N10" s="39"/>
      <x:c r="O10" s="39"/>
      <x:c r="P10" s="39"/>
      <x:c r="Q10" s="39"/>
      <x:c r="R10" s="39"/>
      <x:c r="S10" s="39"/>
      <x:c r="T10" s="39"/>
      <x:c r="U10" s="39"/>
      <x:c r="V10" s="39"/>
      <x:c r="W10" s="39"/>
      <x:c r="X10" s="39"/>
      <x:c r="Y10" s="39"/>
      <x:c r="Z10" s="39"/>
    </x:row>
    <x:row r="11">
      <x:c r="A11" t="str">
        <x:v>Simulation first</x:v>
      </x:c>
      <x:c r="B11" t="str">
        <x:v>All code shall include simulation mode before physical LoRa validation.</x:v>
      </x:c>
      <x:c r="C11" t="str">
        <x:v>Allows controlled testing of RSSI/SNR/latency/failover without risking hardware delays.</x:v>
      </x:c>
      <x:c r="D11" t="str">
        <x:v>Approved</x:v>
      </x:c>
      <x:c r="E11" t="str"/>
      <x:c r="F11" t="str"/>
      <x:c r="G11" t="str"/>
      <x:c r="H11" t="str"/>
      <x:c r="I11" s="39"/>
      <x:c r="J11" s="39"/>
      <x:c r="K11" s="39"/>
      <x:c r="L11" s="39"/>
      <x:c r="M11" s="39"/>
      <x:c r="N11" s="39"/>
      <x:c r="O11" s="39"/>
      <x:c r="P11" s="39"/>
      <x:c r="Q11" s="39"/>
      <x:c r="R11" s="39"/>
      <x:c r="S11" s="39"/>
      <x:c r="T11" s="39"/>
      <x:c r="U11" s="39"/>
      <x:c r="V11" s="39"/>
      <x:c r="W11" s="39"/>
      <x:c r="X11" s="39"/>
      <x:c r="Y11" s="39"/>
      <x:c r="Z11" s="39"/>
    </x:row>
    <x:row r="12">
      <x:c r="A12"/>
      <x:c r="B12"/>
      <x:c r="C12"/>
      <x:c r="D12"/>
      <x:c r="E12"/>
      <x:c r="F12"/>
      <x:c r="G12"/>
      <x:c r="H12"/>
      <x:c r="I12" s="39"/>
      <x:c r="J12" s="39"/>
      <x:c r="K12" s="39"/>
      <x:c r="L12" s="39"/>
      <x:c r="M12" s="39"/>
      <x:c r="N12" s="39"/>
      <x:c r="O12" s="39"/>
      <x:c r="P12" s="39"/>
      <x:c r="Q12" s="39"/>
      <x:c r="R12" s="39"/>
      <x:c r="S12" s="39"/>
      <x:c r="T12" s="39"/>
      <x:c r="U12" s="39"/>
      <x:c r="V12" s="39"/>
      <x:c r="W12" s="39"/>
      <x:c r="X12" s="39"/>
      <x:c r="Y12" s="39"/>
      <x:c r="Z12" s="39"/>
    </x:row>
    <x:row r="13">
      <x:c r="A13" s="132" t="str">
        <x:v>Development Order</x:v>
      </x:c>
      <x:c r="B13" s="122" t="str">
        <x:v>Simulation → ESP32 PlatformIO code → Raspberry Pi gateway code → Android chat app.</x:v>
      </x:c>
      <x:c r="C13" s="122" t="str"/>
      <x:c r="D13" s="122" t="str"/>
      <x:c r="E13" s="122" t="str"/>
      <x:c r="F13" s="122" t="str"/>
      <x:c r="G13" s="122" t="str"/>
      <x:c r="H13" s="123" t="str"/>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 ref="A10:H10"/>
    <x:mergeCell ref="B11:H11"/>
    <x:mergeCell ref="B12:H12"/>
    <x:mergeCell ref="B13:H13"/>
  </x:mergeCell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12" hidden="0" customWidth="1"/>
    <x:col min="9" max="9" width="24" hidden="0" customWidth="1"/>
  </x:cols>
  <x:sheetData>
    <x:row r="1">
      <x:c r="A1" s="182" t="str">
        <x:v>STAGED IMPLEMENTATION PLAN — CODEX + GITHUB WORKFLOW</x:v>
      </x:c>
      <x:c r="B1" s="182"/>
      <x:c r="C1" s="182"/>
      <x:c r="D1" s="182"/>
      <x:c r="E1" s="182"/>
      <x:c r="F1" s="182"/>
      <x:c r="G1" s="182"/>
      <x:c r="H1" s="182"/>
      <x:c r="I1" s="182"/>
      <x:c r="J1" s="39"/>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191" t="str">
        <x:v>Phase</x:v>
      </x:c>
      <x:c r="B3" s="191" t="str">
        <x:v>Name</x:v>
      </x:c>
      <x:c r="C3" s="191" t="str">
        <x:v>Goal</x:v>
      </x:c>
      <x:c r="D3" s="191" t="str">
        <x:v>Primary Output</x:v>
      </x:c>
      <x:c r="E3" s="191" t="str">
        <x:v>Entry Criteria</x:v>
      </x:c>
      <x:c r="F3" s="191" t="str">
        <x:v>Exit Criteria</x:v>
      </x:c>
      <x:c r="G3" s="191" t="str">
        <x:v>Main Tools</x:v>
      </x:c>
      <x:c r="H3" s="191" t="str">
        <x:v>Status</x:v>
      </x:c>
      <x:c r="I3" s="191" t="str">
        <x:v>Notes</x:v>
      </x:c>
      <x:c r="J3" s="39"/>
      <x:c r="K3" s="39"/>
      <x:c r="L3" s="39"/>
      <x:c r="M3" s="39"/>
      <x:c r="N3" s="39"/>
      <x:c r="O3" s="39"/>
      <x:c r="P3" s="39"/>
      <x:c r="Q3" s="39"/>
      <x:c r="R3" s="39"/>
      <x:c r="S3" s="39"/>
      <x:c r="T3" s="39"/>
      <x:c r="U3" s="39"/>
      <x:c r="V3" s="39"/>
      <x:c r="W3" s="39"/>
      <x:c r="X3" s="39"/>
      <x:c r="Y3" s="39"/>
      <x:c r="Z3" s="39"/>
    </x:row>
    <x:row r="4">
      <x:c r="A4" s="43" t="str">
        <x:v>0</x:v>
      </x:c>
      <x:c r="B4" s="43" t="str">
        <x:v>Project Baseline</x:v>
      </x:c>
      <x:c r="C4" s="43" t="str">
        <x:v>Finalize architecture and workbook</x:v>
      </x:c>
      <x:c r="D4" s="43" t="str">
        <x:v>Approved workbook and topology</x:v>
      </x:c>
      <x:c r="E4" s="43" t="str">
        <x:v>User confirms direction</x:v>
      </x:c>
      <x:c r="F4" s="43" t="str">
        <x:v>Workbook ready and first active step chosen</x:v>
      </x:c>
      <x:c r="G4" s="43" t="str">
        <x:v>Excel/ChatGPT</x:v>
      </x:c>
      <x:c r="H4" s="43" t="str">
        <x:v>In Progress</x:v>
      </x:c>
      <x:c r="I4" s="43" t="str">
        <x:v>This workbook is the continuity reference.</x:v>
      </x:c>
      <x:c r="J4" s="39"/>
      <x:c r="K4" s="39"/>
      <x:c r="L4" s="39"/>
      <x:c r="M4" s="39"/>
      <x:c r="N4" s="39"/>
      <x:c r="O4" s="39"/>
      <x:c r="P4" s="39"/>
      <x:c r="Q4" s="39"/>
      <x:c r="R4" s="39"/>
      <x:c r="S4" s="39"/>
      <x:c r="T4" s="39"/>
      <x:c r="U4" s="39"/>
      <x:c r="V4" s="39"/>
      <x:c r="W4" s="39"/>
      <x:c r="X4" s="39"/>
      <x:c r="Y4" s="39"/>
      <x:c r="Z4" s="39"/>
    </x:row>
    <x:row r="5">
      <x:c r="A5" s="43" t="str">
        <x:v>0.5</x:v>
      </x:c>
      <x:c r="B5" s="43" t="str">
        <x:v>GitHub + Codex Setup</x:v>
      </x:c>
      <x:c r="C5" s="43" t="str">
        <x:v>Move development workflow into GitHub with Codex task control</x:v>
      </x:c>
      <x:c r="D5" s="43" t="str">
        <x:v>Repository, AGENTS.md, README, workbook in docs/</x:v>
      </x:c>
      <x:c r="E5" s="43" t="str">
        <x:v>Workbook baseline available</x:v>
      </x:c>
      <x:c r="F5" s="43" t="str">
        <x:v>Repo can be opened by VS Code/Codex and pushed to GitHub</x:v>
      </x:c>
      <x:c r="G5" s="43" t="str">
        <x:v>GitHub, VS Code, Codex CLI/Cloud</x:v>
      </x:c>
      <x:c r="H5" s="43" t="str">
        <x:v>Not Started</x:v>
      </x:c>
      <x:c r="I5" s="43" t="str">
        <x:v>Added because user will develop using Codex on MacBook Pro M1 Max.</x:v>
      </x:c>
      <x:c r="J5" s="39"/>
      <x:c r="K5" s="39"/>
      <x:c r="L5" s="39"/>
      <x:c r="M5" s="39"/>
      <x:c r="N5" s="39"/>
      <x:c r="O5" s="39"/>
      <x:c r="P5" s="39"/>
      <x:c r="Q5" s="39"/>
      <x:c r="R5" s="39"/>
      <x:c r="S5" s="39"/>
      <x:c r="T5" s="39"/>
      <x:c r="U5" s="39"/>
      <x:c r="V5" s="39"/>
      <x:c r="W5" s="39"/>
      <x:c r="X5" s="39"/>
      <x:c r="Y5" s="39"/>
      <x:c r="Z5" s="39"/>
    </x:row>
    <x:row r="6">
      <x:c r="A6" s="43" t="str">
        <x:v>1</x:v>
      </x:c>
      <x:c r="B6" s="43" t="str">
        <x:v>Simulation Core</x:v>
      </x:c>
      <x:c r="C6" s="43" t="str">
        <x:v>Simulate 6 nodes and 2 gateways before hardware</x:v>
      </x:c>
      <x:c r="D6" s="43" t="str">
        <x:v>Python simulator with routing/failover logs</x:v>
      </x:c>
      <x:c r="E6" s="43" t="str">
        <x:v>GitHub/Codex setup done</x:v>
      </x:c>
      <x:c r="F6" s="43" t="str">
        <x:v>Message routing between Network A and B simulated</x:v>
      </x:c>
      <x:c r="G6" s="43" t="str">
        <x:v>VS Code, Codex, Python</x:v>
      </x:c>
      <x:c r="H6" s="43" t="str">
        <x:v>Not Started</x:v>
      </x:c>
      <x:c r="I6" s="43" t="str">
        <x:v>No hardware needed yet.</x:v>
      </x:c>
      <x:c r="J6" s="39"/>
      <x:c r="K6" s="39"/>
      <x:c r="L6" s="39"/>
      <x:c r="M6" s="39"/>
      <x:c r="N6" s="39"/>
      <x:c r="O6" s="39"/>
      <x:c r="P6" s="39"/>
      <x:c r="Q6" s="39"/>
      <x:c r="R6" s="39"/>
      <x:c r="S6" s="39"/>
      <x:c r="T6" s="39"/>
      <x:c r="U6" s="39"/>
      <x:c r="V6" s="39"/>
      <x:c r="W6" s="39"/>
      <x:c r="X6" s="39"/>
      <x:c r="Y6" s="39"/>
      <x:c r="Z6" s="39"/>
    </x:row>
    <x:row r="7">
      <x:c r="A7" s="43" t="str">
        <x:v>2</x:v>
      </x:c>
      <x:c r="B7" s="43" t="str">
        <x:v>ESP32 Simulation Firmware</x:v>
      </x:c>
      <x:c r="C7" s="43" t="str">
        <x:v>Start PlatformIO ESP32 code in simulation mode</x:v>
      </x:c>
      <x:c r="D7" s="43" t="str">
        <x:v>Buildable PlatformIO project</x:v>
      </x:c>
      <x:c r="E7" s="43" t="str">
        <x:v>Repo ready and packet format draft ready</x:v>
      </x:c>
      <x:c r="F7" s="43" t="str">
        <x:v>Node simulation builds and logs message state</x:v>
      </x:c>
      <x:c r="G7" s="43" t="str">
        <x:v>VS Code, PlatformIO, Codex</x:v>
      </x:c>
      <x:c r="H7" s="43" t="str">
        <x:v>Not Started</x:v>
      </x:c>
      <x:c r="I7" s="43" t="str">
        <x:v>Codex task C1.</x:v>
      </x:c>
      <x:c r="J7" s="39"/>
      <x:c r="K7" s="39"/>
      <x:c r="L7" s="39"/>
      <x:c r="M7" s="39"/>
      <x:c r="N7" s="39"/>
      <x:c r="O7" s="39"/>
      <x:c r="P7" s="39"/>
      <x:c r="Q7" s="39"/>
      <x:c r="R7" s="39"/>
      <x:c r="S7" s="39"/>
      <x:c r="T7" s="39"/>
      <x:c r="U7" s="39"/>
      <x:c r="V7" s="39"/>
      <x:c r="W7" s="39"/>
      <x:c r="X7" s="39"/>
      <x:c r="Y7" s="39"/>
      <x:c r="Z7" s="39"/>
    </x:row>
    <x:row r="8">
      <x:c r="A8" s="43" t="str">
        <x:v>3</x:v>
      </x:c>
      <x:c r="B8" s="43" t="str">
        <x:v>ESP32 LoRa Firmware</x:v>
      </x:c>
      <x:c r="C8" s="43" t="str">
        <x:v>Add SX1278 Ra-02 LoRa messaging</x:v>
      </x:c>
      <x:c r="D8" s="43" t="str">
        <x:v>Firmware for LoRa send/receive and ACK</x:v>
      </x:c>
      <x:c r="E8" s="43" t="str">
        <x:v>ESP32 simulation stable</x:v>
      </x:c>
      <x:c r="F8" s="43" t="str">
        <x:v>Physical node-to-node message send/ACK works</x:v>
      </x:c>
      <x:c r="G8" s="43" t="str">
        <x:v>ESP32, PlatformIO, Codex</x:v>
      </x:c>
      <x:c r="H8" s="43" t="str">
        <x:v>Not Started</x:v>
      </x:c>
      <x:c r="I8" s="43" t="str">
        <x:v>Start with 2 nodes, then 6.</x:v>
      </x:c>
      <x:c r="J8" s="39"/>
      <x:c r="K8" s="39"/>
      <x:c r="L8" s="39"/>
      <x:c r="M8" s="39"/>
      <x:c r="N8" s="39"/>
      <x:c r="O8" s="39"/>
      <x:c r="P8" s="39"/>
      <x:c r="Q8" s="39"/>
      <x:c r="R8" s="39"/>
      <x:c r="S8" s="39"/>
      <x:c r="T8" s="39"/>
      <x:c r="U8" s="39"/>
      <x:c r="V8" s="39"/>
      <x:c r="W8" s="39"/>
      <x:c r="X8" s="39"/>
      <x:c r="Y8" s="39"/>
      <x:c r="Z8" s="39"/>
    </x:row>
    <x:row r="9">
      <x:c r="A9" s="43" t="str">
        <x:v>4</x:v>
      </x:c>
      <x:c r="B9" s="43" t="str">
        <x:v>Raspberry Pi Gateway</x:v>
      </x:c>
      <x:c r="C9" s="43" t="str">
        <x:v>Build gateway service and dashboard</x:v>
      </x:c>
      <x:c r="D9" s="43" t="str">
        <x:v>Python service + Flask dashboard</x:v>
      </x:c>
      <x:c r="E9" s="43" t="str">
        <x:v>Protocol stable</x:v>
      </x:c>
      <x:c r="F9" s="43" t="str">
        <x:v>Gateway sends/receives LoRa and routes to WiFi path</x:v>
      </x:c>
      <x:c r="G9" s="43" t="str">
        <x:v>Raspberry Pi 3B, Python, Codex</x:v>
      </x:c>
      <x:c r="H9" s="43" t="str">
        <x:v>Not Started</x:v>
      </x:c>
      <x:c r="I9" s="43" t="str">
        <x:v>Direct LoRa module on Pi.</x:v>
      </x:c>
      <x:c r="J9" s="39"/>
      <x:c r="K9" s="39"/>
      <x:c r="L9" s="39"/>
      <x:c r="M9" s="39"/>
      <x:c r="N9" s="39"/>
      <x:c r="O9" s="39"/>
      <x:c r="P9" s="39"/>
      <x:c r="Q9" s="39"/>
      <x:c r="R9" s="39"/>
      <x:c r="S9" s="39"/>
      <x:c r="T9" s="39"/>
      <x:c r="U9" s="39"/>
      <x:c r="V9" s="39"/>
      <x:c r="W9" s="39"/>
      <x:c r="X9" s="39"/>
      <x:c r="Y9" s="39"/>
      <x:c r="Z9" s="39"/>
    </x:row>
    <x:row r="10">
      <x:c r="A10" s="43" t="str">
        <x:v>5</x:v>
      </x:c>
      <x:c r="B10" s="43" t="str">
        <x:v>Router/Satellite Simulation</x:v>
      </x:c>
      <x:c r="C10" s="43" t="str">
        <x:v>Connect gateways over WiFi routers</x:v>
      </x:c>
      <x:c r="D10" s="43" t="str">
        <x:v>Inter-network messaging with latency simulation</x:v>
      </x:c>
      <x:c r="E10" s="43" t="str">
        <x:v>Gateway API stable</x:v>
      </x:c>
      <x:c r="F10" s="43" t="str">
        <x:v>Network A can deliver to Network B through WiFi path</x:v>
      </x:c>
      <x:c r="G10" s="43" t="str">
        <x:v>Routers, Linux tc/netem</x:v>
      </x:c>
      <x:c r="H10" s="43" t="str">
        <x:v>Not Started</x:v>
      </x:c>
      <x:c r="I10" s="43" t="str">
        <x:v>Use 500-700 ms delay.</x:v>
      </x:c>
      <x:c r="J10" s="39"/>
      <x:c r="K10" s="39"/>
      <x:c r="L10" s="39"/>
      <x:c r="M10" s="39"/>
      <x:c r="N10" s="39"/>
      <x:c r="O10" s="39"/>
      <x:c r="P10" s="39"/>
      <x:c r="Q10" s="39"/>
      <x:c r="R10" s="39"/>
      <x:c r="S10" s="39"/>
      <x:c r="T10" s="39"/>
      <x:c r="U10" s="39"/>
      <x:c r="V10" s="39"/>
      <x:c r="W10" s="39"/>
      <x:c r="X10" s="39"/>
      <x:c r="Y10" s="39"/>
      <x:c r="Z10" s="39"/>
    </x:row>
    <x:row r="11">
      <x:c r="A11" s="43" t="str">
        <x:v>6</x:v>
      </x:c>
      <x:c r="B11" s="43" t="str">
        <x:v>Failover/Recovery Test Logic</x:v>
      </x:c>
      <x:c r="C11" s="43" t="str">
        <x:v>Implement and validate DOCX acceptance logic</x:v>
      </x:c>
      <x:c r="D11" s="43" t="str">
        <x:v>State machine and test reports</x:v>
      </x:c>
      <x:c r="E11" s="43" t="str">
        <x:v>Simulation and gateway stable</x:v>
      </x:c>
      <x:c r="F11" s="43" t="str">
        <x:v>Pass baseline, degradation, failover, recovery tests</x:v>
      </x:c>
      <x:c r="G11" s="43" t="str">
        <x:v>Codex, Python, PlatformIO</x:v>
      </x:c>
      <x:c r="H11" s="43" t="str">
        <x:v>Not Started</x:v>
      </x:c>
      <x:c r="I11" s="43" t="str">
        <x:v>RSSI &lt; -78 dBm for 10s and stable 10s recovery.</x:v>
      </x:c>
      <x:c r="J11" s="39"/>
      <x:c r="K11" s="39"/>
      <x:c r="L11" s="39"/>
      <x:c r="M11" s="39"/>
      <x:c r="N11" s="39"/>
      <x:c r="O11" s="39"/>
      <x:c r="P11" s="39"/>
      <x:c r="Q11" s="39"/>
      <x:c r="R11" s="39"/>
      <x:c r="S11" s="39"/>
      <x:c r="T11" s="39"/>
      <x:c r="U11" s="39"/>
      <x:c r="V11" s="39"/>
      <x:c r="W11" s="39"/>
      <x:c r="X11" s="39"/>
      <x:c r="Y11" s="39"/>
      <x:c r="Z11" s="39"/>
    </x:row>
    <x:row r="12">
      <x:c r="A12" s="43" t="str">
        <x:v>7</x:v>
      </x:c>
      <x:c r="B12" s="43" t="str">
        <x:v>Android Chat App</x:v>
      </x:c>
      <x:c r="C12" s="43" t="str">
        <x:v>Create Android messaging app</x:v>
      </x:c>
      <x:c r="D12" s="43" t="str">
        <x:v>Android Studio project</x:v>
      </x:c>
      <x:c r="E12" s="43" t="str">
        <x:v>Gateway/ESP32 protocol stable</x:v>
      </x:c>
      <x:c r="F12" s="43" t="str">
        <x:v>App sends/receives via selected transport</x:v>
      </x:c>
      <x:c r="G12" s="43" t="str">
        <x:v>Android Studio, Kotlin, Codex</x:v>
      </x:c>
      <x:c r="H12" s="43" t="str">
        <x:v>Not Started</x:v>
      </x:c>
      <x:c r="I12" s="43" t="str">
        <x:v>Manual Auto/LoRa/WiFi/GSM mode selection.</x:v>
      </x:c>
      <x:c r="J12" s="39"/>
      <x:c r="K12" s="39"/>
      <x:c r="L12" s="39"/>
      <x:c r="M12" s="39"/>
      <x:c r="N12" s="39"/>
      <x:c r="O12" s="39"/>
      <x:c r="P12" s="39"/>
      <x:c r="Q12" s="39"/>
      <x:c r="R12" s="39"/>
      <x:c r="S12" s="39"/>
      <x:c r="T12" s="39"/>
      <x:c r="U12" s="39"/>
      <x:c r="V12" s="39"/>
      <x:c r="W12" s="39"/>
      <x:c r="X12" s="39"/>
      <x:c r="Y12" s="39"/>
      <x:c r="Z12" s="39"/>
    </x:row>
    <x:row r="13">
      <x:c r="A13" s="43" t="str">
        <x:v>8</x:v>
      </x:c>
      <x:c r="B13" s="43" t="str">
        <x:v>Integrated Test Campaign</x:v>
      </x:c>
      <x:c r="C13" s="43" t="str">
        <x:v>Validate acceptance criteria</x:v>
      </x:c>
      <x:c r="D13" s="43" t="str">
        <x:v>Signed test results and logs</x:v>
      </x:c>
      <x:c r="E13" s="43" t="str">
        <x:v>All components working</x:v>
      </x:c>
      <x:c r="F13" s="43" t="str">
        <x:v>PDR, failover, recovery, uptime targets measured</x:v>
      </x:c>
      <x:c r="G13" s="43" t="str">
        <x:v>Workbook + logs</x:v>
      </x:c>
      <x:c r="H13" s="43" t="str">
        <x:v>Not Started</x:v>
      </x:c>
      <x:c r="I13" s="43" t="str">
        <x:v>Update workbook after every passed step.</x:v>
      </x:c>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H4:H13">
      <x:formula1>"Not Started,In Progress,Blocked,Completed,Skipped,Planned,Available"</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42" hidden="0" customWidth="1"/>
    <x:col min="5" max="5" width="34" hidden="0" customWidth="1"/>
    <x:col min="6" max="6" width="14" hidden="0" customWidth="1"/>
    <x:col min="7" max="7" width="18" hidden="0" customWidth="1"/>
    <x:col min="8" max="8" width="14" hidden="0" customWidth="1"/>
    <x:col min="9" max="9" width="14" hidden="0" customWidth="1"/>
    <x:col min="10" max="10" width="28" hidden="0" customWidth="1"/>
    <x:col min="11" max="11" width="24" hidden="0" customWidth="1"/>
    <x:col min="12" max="12" width="30" hidden="0" customWidth="1"/>
  </x:cols>
  <x:sheetData>
    <x:row r="1" ht="16.799999237060547" hidden="0" customHeight="1">
      <x:c r="A1" s="182" t="str">
        <x:v>DETAILED STEP TRACKER - UPDATE AFTER EVERY COMPLETED STEP</x:v>
      </x:c>
      <x:c r="B1" s="182"/>
      <x:c r="C1" s="182"/>
      <x:c r="D1" s="182"/>
      <x:c r="E1" s="182"/>
      <x:c r="F1" s="182"/>
      <x:c r="G1" s="182"/>
      <x:c r="H1" s="182"/>
      <x:c r="I1" s="182"/>
      <x:c r="J1" s="182"/>
      <x:c r="K1" s="182"/>
      <x:c r="L1" s="182"/>
      <x:c r="M1" s="39"/>
      <x:c r="N1" s="39"/>
      <x:c r="O1" s="39"/>
      <x:c r="P1" s="39"/>
      <x:c r="Q1" s="39"/>
      <x:c r="R1" s="39"/>
      <x:c r="S1" s="39"/>
      <x:c r="T1" s="39"/>
      <x:c r="U1" s="39"/>
      <x:c r="V1" s="39"/>
      <x:c r="W1" s="39"/>
      <x:c r="X1" s="39"/>
      <x:c r="Y1" s="39"/>
      <x:c r="Z1" s="39"/>
    </x:row>
    <x:row r="2" ht="15" hidden="0" customHeight="1">
      <x:c r="A2" s="191" t="str">
        <x:v>Step ID</x:v>
      </x:c>
      <x:c r="B2" s="191" t="str">
        <x:v>Phase</x:v>
      </x:c>
      <x:c r="C2" s="191" t="str">
        <x:v>Stage</x:v>
      </x:c>
      <x:c r="D2" s="191" t="str">
        <x:v>Action / Procedure</x:v>
      </x:c>
      <x:c r="E2" s="191" t="str">
        <x:v>Validation / Expected Result</x:v>
      </x:c>
      <x:c r="F2" s="191" t="str">
        <x:v>Status</x:v>
      </x:c>
      <x:c r="G2" s="191" t="str">
        <x:v>Owner</x:v>
      </x:c>
      <x:c r="H2" s="191" t="str">
        <x:v>Date Started</x:v>
      </x:c>
      <x:c r="I2" s="191" t="str">
        <x:v>Date Completed</x:v>
      </x:c>
      <x:c r="J2" s="191" t="str">
        <x:v>Actual Result</x:v>
      </x:c>
      <x:c r="K2" s="191" t="str">
        <x:v>Evidence / File / Screenshot</x:v>
      </x:c>
      <x:c r="L2" s="191" t="str">
        <x:v>Notes</x:v>
      </x:c>
      <x:c r="M2" s="39"/>
      <x:c r="N2" s="39"/>
      <x:c r="O2" s="39"/>
      <x:c r="P2" s="39"/>
      <x:c r="Q2" s="39"/>
      <x:c r="R2" s="39"/>
      <x:c r="S2" s="39"/>
      <x:c r="T2" s="39"/>
      <x:c r="U2" s="39"/>
      <x:c r="V2" s="39"/>
      <x:c r="W2" s="39"/>
      <x:c r="X2" s="39"/>
      <x:c r="Y2" s="39"/>
      <x:c r="Z2" s="39"/>
    </x:row>
    <x:row r="3" ht="15" hidden="0" customHeight="1">
      <x:c r="A3" s="43" t="str">
        <x:v>0.1</x:v>
      </x:c>
      <x:c r="B3" s="43" t="str">
        <x:v>0 Baseline</x:v>
      </x:c>
      <x:c r="C3" s="43" t="str">
        <x:v>Workbook</x:v>
      </x:c>
      <x:c r="D3" s="43" t="str">
        <x:v>Review workbook sheets and confirm architecture</x:v>
      </x:c>
      <x:c r="E3" s="43" t="str">
        <x:v>Architecture accepted or edits listed</x:v>
      </x:c>
      <x:c r="F3" s="43" t="str">
        <x:v>In Progress</x:v>
      </x:c>
      <x:c r="G3" s="43" t="str">
        <x:v>User + ChatGPT</x:v>
      </x:c>
      <x:c r="H3" s="43" t="str"/>
      <x:c r="I3" s="43" t="str"/>
      <x:c r="J3" s="43" t="str"/>
      <x:c r="K3" s="43" t="str"/>
      <x:c r="L3" s="43" t="str"/>
      <x:c r="M3" s="39"/>
      <x:c r="N3" s="39"/>
      <x:c r="O3" s="39"/>
      <x:c r="P3" s="39"/>
      <x:c r="Q3" s="39"/>
      <x:c r="R3" s="39"/>
      <x:c r="S3" s="39"/>
      <x:c r="T3" s="39"/>
      <x:c r="U3" s="39"/>
      <x:c r="V3" s="39"/>
      <x:c r="W3" s="39"/>
      <x:c r="X3" s="39"/>
      <x:c r="Y3" s="39"/>
      <x:c r="Z3" s="39"/>
    </x:row>
    <x:row r="4" ht="52.79999923706055" hidden="0" customHeight="1">
      <x:c r="A4" s="43" t="str">
        <x:v>0.2</x:v>
      </x:c>
      <x:c r="B4" s="43" t="str">
        <x:v>0 Baseline</x:v>
      </x:c>
      <x:c r="C4" s="43" t="str">
        <x:v>Topology</x:v>
      </x:c>
      <x:c r="D4" s="43" t="str">
        <x:v>Confirm 6-node topology: Network A has 3 nodes, Network B has 3 nodes, each paired by Bluetooth to Android phone, with one gateway and one WiFi router per network</x:v>
      </x:c>
      <x:c r="E4" s="43" t="str">
        <x:v>Topology confirmed</x:v>
      </x:c>
      <x:c r="F4" s="43" t="str">
        <x:v>Not Started</x:v>
      </x:c>
      <x:c r="G4" s="43" t="str">
        <x:v>User + ChatGPT</x:v>
      </x:c>
      <x:c r="H4" s="43" t="str"/>
      <x:c r="I4" s="43" t="str"/>
      <x:c r="J4" s="43" t="str"/>
      <x:c r="K4" s="43" t="str"/>
      <x:c r="L4" s="43" t="str"/>
      <x:c r="M4" s="39"/>
      <x:c r="N4" s="39"/>
      <x:c r="O4" s="39"/>
      <x:c r="P4" s="39"/>
      <x:c r="Q4" s="39"/>
      <x:c r="R4" s="39"/>
      <x:c r="S4" s="39"/>
      <x:c r="T4" s="39"/>
      <x:c r="U4" s="39"/>
      <x:c r="V4" s="39"/>
      <x:c r="W4" s="39"/>
      <x:c r="X4" s="39"/>
      <x:c r="Y4" s="39"/>
      <x:c r="Z4" s="39"/>
    </x:row>
    <x:row r="5" ht="26.399999618530273" hidden="0" customHeight="1">
      <x:c r="A5" s="43" t="str">
        <x:v>0.3</x:v>
      </x:c>
      <x:c r="B5" s="43" t="str">
        <x:v>0 Baseline</x:v>
      </x:c>
      <x:c r="C5" s="43" t="str">
        <x:v>Frequency</x:v>
      </x:c>
      <x:c r="D5" s="43" t="str">
        <x:v>Confirm prototype frequency and power setting for SX1278 Ra-02 433 MHz</x:v>
      </x:c>
      <x:c r="E5" s="43" t="str">
        <x:v>Selected LoRa settings documented</x:v>
      </x:c>
      <x:c r="F5" s="43" t="str">
        <x:v>Not Started</x:v>
      </x:c>
      <x:c r="G5" s="43" t="str">
        <x:v>User</x:v>
      </x:c>
      <x:c r="H5" s="43" t="str"/>
      <x:c r="I5" s="43" t="str"/>
      <x:c r="J5" s="43" t="str"/>
      <x:c r="K5" s="43" t="str"/>
      <x:c r="L5" s="43" t="str"/>
      <x:c r="M5" s="39"/>
      <x:c r="N5" s="39"/>
      <x:c r="O5" s="39"/>
      <x:c r="P5" s="39"/>
      <x:c r="Q5" s="39"/>
      <x:c r="R5" s="39"/>
      <x:c r="S5" s="39"/>
      <x:c r="T5" s="39"/>
      <x:c r="U5" s="39"/>
      <x:c r="V5" s="39"/>
      <x:c r="W5" s="39"/>
      <x:c r="X5" s="39"/>
      <x:c r="Y5" s="39"/>
      <x:c r="Z5" s="39"/>
    </x:row>
    <x:row r="6" ht="26.399999618530273" hidden="0" customHeight="1">
      <x:c r="A6" s="43" t="str">
        <x:v>0.4</x:v>
      </x:c>
      <x:c r="B6" s="43" t="str">
        <x:v>0.5 GitHub/Codex</x:v>
      </x:c>
      <x:c r="C6" s="43" t="str">
        <x:v>Repository</x:v>
      </x:c>
      <x:c r="D6" s="43" t="str">
        <x:v>Create GitHub repository pup-manet-emergency-messaging</x:v>
      </x:c>
      <x:c r="E6" s="43" t="str">
        <x:v>Repo exists and is accessible</x:v>
      </x:c>
      <x:c r="F6" s="43" t="str">
        <x:v>Not Started</x:v>
      </x:c>
      <x:c r="G6" s="43" t="str">
        <x:v>User</x:v>
      </x:c>
      <x:c r="H6" s="43" t="str"/>
      <x:c r="I6" s="43" t="str"/>
      <x:c r="J6" s="43" t="str"/>
      <x:c r="K6" s="43" t="str">
        <x:v>Repo URL</x:v>
      </x:c>
      <x:c r="L6" s="43" t="str"/>
      <x:c r="M6" s="39"/>
      <x:c r="N6" s="39"/>
      <x:c r="O6" s="39"/>
      <x:c r="P6" s="39"/>
      <x:c r="Q6" s="39"/>
      <x:c r="R6" s="39"/>
      <x:c r="S6" s="39"/>
      <x:c r="T6" s="39"/>
      <x:c r="U6" s="39"/>
      <x:c r="V6" s="39"/>
      <x:c r="W6" s="39"/>
      <x:c r="X6" s="39"/>
      <x:c r="Y6" s="39"/>
      <x:c r="Z6" s="39"/>
    </x:row>
    <x:row r="7" ht="26.399999618530273" hidden="0" customHeight="1">
      <x:c r="A7" s="43" t="str">
        <x:v>0.5</x:v>
      </x:c>
      <x:c r="B7" s="43" t="str">
        <x:v>0.5 GitHub/Codex</x:v>
      </x:c>
      <x:c r="C7" s="43" t="str">
        <x:v>Local Clone</x:v>
      </x:c>
      <x:c r="D7" s="43" t="str">
        <x:v>Clone repo on MacBook Pro M1 Max and open in VS Code</x:v>
      </x:c>
      <x:c r="E7" s="43" t="str">
        <x:v>Repo opens locally; git status clean</x:v>
      </x:c>
      <x:c r="F7" s="43" t="str">
        <x:v>Not Started</x:v>
      </x:c>
      <x:c r="G7" s="43" t="str">
        <x:v>User</x:v>
      </x:c>
      <x:c r="H7" s="43" t="str"/>
      <x:c r="I7" s="43" t="str"/>
      <x:c r="J7" s="43" t="str"/>
      <x:c r="K7" s="43" t="str">
        <x:v>Terminal output</x:v>
      </x:c>
      <x:c r="L7" s="43" t="str"/>
      <x:c r="M7" s="39"/>
      <x:c r="N7" s="39"/>
      <x:c r="O7" s="39"/>
      <x:c r="P7" s="39"/>
      <x:c r="Q7" s="39"/>
      <x:c r="R7" s="39"/>
      <x:c r="S7" s="39"/>
      <x:c r="T7" s="39"/>
      <x:c r="U7" s="39"/>
      <x:c r="V7" s="39"/>
      <x:c r="W7" s="39"/>
      <x:c r="X7" s="39"/>
      <x:c r="Y7" s="39"/>
      <x:c r="Z7" s="39"/>
    </x:row>
    <x:row r="8" ht="52.79999923706055" hidden="0" customHeight="1">
      <x:c r="A8" s="43" t="str">
        <x:v>0.6</x:v>
      </x:c>
      <x:c r="B8" s="43" t="str">
        <x:v>0.5 GitHub/Codex</x:v>
      </x:c>
      <x:c r="C8" s="43" t="str">
        <x:v>Repo Structure</x:v>
      </x:c>
      <x:c r="D8" s="43" t="str">
        <x:v>Create required folders: esp32-node-platformio, rpi-gateway, android-chat-app, docs/workbook, docs/diagrams, docs/test-procedures, docs/codex-prompts</x:v>
      </x:c>
      <x:c r="E8" s="43" t="str">
        <x:v>Folders exist</x:v>
      </x:c>
      <x:c r="F8" s="43" t="str">
        <x:v>Not Started</x:v>
      </x:c>
      <x:c r="G8" s="43" t="str">
        <x:v>User + Codex</x:v>
      </x:c>
      <x:c r="H8" s="43" t="str"/>
      <x:c r="I8" s="43" t="str"/>
      <x:c r="J8" s="43" t="str"/>
      <x:c r="K8" s="43" t="str">
        <x:v>tree output</x:v>
      </x:c>
      <x:c r="L8" s="43" t="str">
        <x:v>Use Codex task C0 or manual setup.</x:v>
      </x:c>
      <x:c r="M8" s="39"/>
      <x:c r="N8" s="39"/>
      <x:c r="O8" s="39"/>
      <x:c r="P8" s="39"/>
      <x:c r="Q8" s="39"/>
      <x:c r="R8" s="39"/>
      <x:c r="S8" s="39"/>
      <x:c r="T8" s="39"/>
      <x:c r="U8" s="39"/>
      <x:c r="V8" s="39"/>
      <x:c r="W8" s="39"/>
      <x:c r="X8" s="39"/>
      <x:c r="Y8" s="39"/>
      <x:c r="Z8" s="39"/>
    </x:row>
    <x:row r="9" ht="26.399999618530273" hidden="0" customHeight="1">
      <x:c r="A9" s="43" t="str">
        <x:v>0.7</x:v>
      </x:c>
      <x:c r="B9" s="43" t="str">
        <x:v>0.5 GitHub/Codex</x:v>
      </x:c>
      <x:c r="C9" s="43" t="str">
        <x:v>AGENTS.md</x:v>
      </x:c>
      <x:c r="D9" s="43" t="str">
        <x:v>Add repository AGENTS.md with project rules for Codex</x:v>
      </x:c>
      <x:c r="E9" s="43" t="str">
        <x:v>Codex instructions file exists</x:v>
      </x:c>
      <x:c r="F9" s="43" t="str">
        <x:v>Not Started</x:v>
      </x:c>
      <x:c r="G9" s="43" t="str">
        <x:v>Codex/User</x:v>
      </x:c>
      <x:c r="H9" s="43" t="str"/>
      <x:c r="I9" s="43" t="str"/>
      <x:c r="J9" s="43" t="str"/>
      <x:c r="K9" s="43" t="str">
        <x:v>File path + commit hash</x:v>
      </x:c>
      <x:c r="L9" s="43" t="str">
        <x:v>Must require workbook step reference for all tasks.</x:v>
      </x:c>
      <x:c r="M9" s="39"/>
      <x:c r="N9" s="39"/>
      <x:c r="O9" s="39"/>
      <x:c r="P9" s="39"/>
      <x:c r="Q9" s="39"/>
      <x:c r="R9" s="39"/>
      <x:c r="S9" s="39"/>
      <x:c r="T9" s="39"/>
      <x:c r="U9" s="39"/>
      <x:c r="V9" s="39"/>
      <x:c r="W9" s="39"/>
      <x:c r="X9" s="39"/>
      <x:c r="Y9" s="39"/>
      <x:c r="Z9" s="39"/>
    </x:row>
    <x:row r="10" ht="26.399999618530273" hidden="0" customHeight="1">
      <x:c r="A10" s="43" t="str">
        <x:v>0.8</x:v>
      </x:c>
      <x:c r="B10" s="43" t="str">
        <x:v>0.5 GitHub/Codex</x:v>
      </x:c>
      <x:c r="C10" s="43" t="str">
        <x:v>Workbook Commit</x:v>
      </x:c>
      <x:c r="D10" s="43" t="str">
        <x:v>Copy latest workbook and diagrams into docs folder and commit to GitHub</x:v>
      </x:c>
      <x:c r="E10" s="43" t="str">
        <x:v>Workbook and diagrams are versioned</x:v>
      </x:c>
      <x:c r="F10" s="43" t="str">
        <x:v>Not Started</x:v>
      </x:c>
      <x:c r="G10" s="43" t="str">
        <x:v>User</x:v>
      </x:c>
      <x:c r="H10" s="43" t="str"/>
      <x:c r="I10" s="43" t="str"/>
      <x:c r="J10" s="43" t="str"/>
      <x:c r="K10" s="43" t="str">
        <x:v>Commit hash</x:v>
      </x:c>
      <x:c r="L10" s="43" t="str">
        <x:v>This workbook must be updated after every completed step.</x:v>
      </x:c>
      <x:c r="M10" s="39"/>
      <x:c r="N10" s="39"/>
      <x:c r="O10" s="39"/>
      <x:c r="P10" s="39"/>
      <x:c r="Q10" s="39"/>
      <x:c r="R10" s="39"/>
      <x:c r="S10" s="39"/>
      <x:c r="T10" s="39"/>
      <x:c r="U10" s="39"/>
      <x:c r="V10" s="39"/>
      <x:c r="W10" s="39"/>
      <x:c r="X10" s="39"/>
      <x:c r="Y10" s="39"/>
      <x:c r="Z10" s="39"/>
    </x:row>
    <x:row r="11" ht="26.399999618530273" hidden="0" customHeight="1">
      <x:c r="A11" s="43" t="str">
        <x:v>0.9</x:v>
      </x:c>
      <x:c r="B11" s="43" t="str">
        <x:v>0.5 GitHub/Codex</x:v>
      </x:c>
      <x:c r="C11" s="43" t="str">
        <x:v>Codex Test Task</x:v>
      </x:c>
      <x:c r="D11" s="43" t="str">
        <x:v>Run small Codex task to update README only</x:v>
      </x:c>
      <x:c r="E11" s="43" t="str">
        <x:v>Codex completes task without touching unrelated files</x:v>
      </x:c>
      <x:c r="F11" s="43" t="str">
        <x:v>Not Started</x:v>
      </x:c>
      <x:c r="G11" s="43" t="str">
        <x:v>User + Codex</x:v>
      </x:c>
      <x:c r="H11" s="43" t="str"/>
      <x:c r="I11" s="43" t="str"/>
      <x:c r="J11" s="43" t="str"/>
      <x:c r="K11" s="43" t="str">
        <x:v>Codex task link or terminal output</x:v>
      </x:c>
      <x:c r="L11" s="43" t="str">
        <x:v>Confirms Codex workflow before code development.</x:v>
      </x:c>
      <x:c r="M11" s="39"/>
      <x:c r="N11" s="39"/>
      <x:c r="O11" s="39"/>
      <x:c r="P11" s="39"/>
      <x:c r="Q11" s="39"/>
      <x:c r="R11" s="39"/>
      <x:c r="S11" s="39"/>
      <x:c r="T11" s="39"/>
      <x:c r="U11" s="39"/>
      <x:c r="V11" s="39"/>
      <x:c r="W11" s="39"/>
      <x:c r="X11" s="39"/>
      <x:c r="Y11" s="39"/>
      <x:c r="Z11" s="39"/>
    </x:row>
    <x:row r="12" ht="26.399999618530273" hidden="0" customHeight="1">
      <x:c r="A12" s="43" t="str">
        <x:v>1.1</x:v>
      </x:c>
      <x:c r="B12" s="43" t="str">
        <x:v>1 Simulation</x:v>
      </x:c>
      <x:c r="C12" s="43" t="str">
        <x:v>Packet Model</x:v>
      </x:c>
      <x:c r="D12" s="43" t="str">
        <x:v>Create JSON packet model for message, ACK, HELLO, route advert, gateway advert</x:v>
      </x:c>
      <x:c r="E12" s="43" t="str">
        <x:v>Simulator accepts packet schema</x:v>
      </x:c>
      <x:c r="F12" s="43" t="str">
        <x:v>Not Started</x:v>
      </x:c>
      <x:c r="G12" s="43" t="str">
        <x:v>Codex</x:v>
      </x:c>
      <x:c r="H12" s="43" t="str"/>
      <x:c r="I12" s="43" t="str"/>
      <x:c r="J12" s="43" t="str"/>
      <x:c r="K12" s="43" t="str">
        <x:v>PR/commit + test log</x:v>
      </x:c>
      <x:c r="L12" s="43" t="str"/>
      <x:c r="M12" s="39"/>
      <x:c r="N12" s="39"/>
      <x:c r="O12" s="39"/>
      <x:c r="P12" s="39"/>
      <x:c r="Q12" s="39"/>
      <x:c r="R12" s="39"/>
      <x:c r="S12" s="39"/>
      <x:c r="T12" s="39"/>
      <x:c r="U12" s="39"/>
      <x:c r="V12" s="39"/>
      <x:c r="W12" s="39"/>
      <x:c r="X12" s="39"/>
      <x:c r="Y12" s="39"/>
      <x:c r="Z12" s="39"/>
    </x:row>
    <x:row r="13" ht="26.399999618530273" hidden="0" customHeight="1">
      <x:c r="A13" s="43" t="str">
        <x:v>1.2</x:v>
      </x:c>
      <x:c r="B13" s="43" t="str">
        <x:v>1 Simulation</x:v>
      </x:c>
      <x:c r="C13" s="43" t="str">
        <x:v>Six Nodes</x:v>
      </x:c>
      <x:c r="D13" s="43" t="str">
        <x:v>Simulate six nodes: A1-A3 and B1-B3 with two gateways GWA/GWB</x:v>
      </x:c>
      <x:c r="E13" s="43" t="str">
        <x:v>All simulated nodes appear in log</x:v>
      </x:c>
      <x:c r="F13" s="43" t="str">
        <x:v>Not Started</x:v>
      </x:c>
      <x:c r="G13" s="43" t="str">
        <x:v>Codex</x:v>
      </x:c>
      <x:c r="H13" s="43" t="str"/>
      <x:c r="I13" s="43" t="str"/>
      <x:c r="J13" s="43" t="str"/>
      <x:c r="K13" s="43" t="str">
        <x:v>Test log</x:v>
      </x:c>
      <x:c r="L13" s="43" t="str"/>
      <x:c r="M13" s="39"/>
      <x:c r="N13" s="39"/>
      <x:c r="O13" s="39"/>
      <x:c r="P13" s="39"/>
      <x:c r="Q13" s="39"/>
      <x:c r="R13" s="39"/>
      <x:c r="S13" s="39"/>
      <x:c r="T13" s="39"/>
      <x:c r="U13" s="39"/>
      <x:c r="V13" s="39"/>
      <x:c r="W13" s="39"/>
      <x:c r="X13" s="39"/>
      <x:c r="Y13" s="39"/>
      <x:c r="Z13" s="39"/>
    </x:row>
    <x:row r="14" ht="26.399999618530273" hidden="0" customHeight="1">
      <x:c r="A14" s="43" t="str">
        <x:v>1.3</x:v>
      </x:c>
      <x:c r="B14" s="43" t="str">
        <x:v>1 Simulation</x:v>
      </x:c>
      <x:c r="C14" s="43" t="str">
        <x:v>Local Delivery</x:v>
      </x:c>
      <x:c r="D14" s="43" t="str">
        <x:v>Send message from A1 to A2 and A3 through simulated local routing</x:v>
      </x:c>
      <x:c r="E14" s="43" t="str">
        <x:v>Message delivered with ACK</x:v>
      </x:c>
      <x:c r="F14" s="43" t="str">
        <x:v>Not Started</x:v>
      </x:c>
      <x:c r="G14" s="43" t="str">
        <x:v>Codex/User</x:v>
      </x:c>
      <x:c r="H14" s="43" t="str"/>
      <x:c r="I14" s="43" t="str"/>
      <x:c r="J14" s="43" t="str"/>
      <x:c r="K14" s="43" t="str">
        <x:v>Simulation log</x:v>
      </x:c>
      <x:c r="L14" s="43" t="str"/>
      <x:c r="M14" s="39"/>
      <x:c r="N14" s="39"/>
      <x:c r="O14" s="39"/>
      <x:c r="P14" s="39"/>
      <x:c r="Q14" s="39"/>
      <x:c r="R14" s="39"/>
      <x:c r="S14" s="39"/>
      <x:c r="T14" s="39"/>
      <x:c r="U14" s="39"/>
      <x:c r="V14" s="39"/>
      <x:c r="W14" s="39"/>
      <x:c r="X14" s="39"/>
      <x:c r="Y14" s="39"/>
      <x:c r="Z14" s="39"/>
    </x:row>
    <x:row r="15" ht="26.399999618530273" hidden="0" customHeight="1">
      <x:c r="A15" s="43" t="str">
        <x:v>1.4</x:v>
      </x:c>
      <x:c r="B15" s="43" t="str">
        <x:v>1 Simulation</x:v>
      </x:c>
      <x:c r="C15" s="43" t="str">
        <x:v>Cross Network Delivery</x:v>
      </x:c>
      <x:c r="D15" s="43" t="str">
        <x:v>Send message from A1 to B1 via Gateway A -&gt; WiFi router link -&gt; Gateway B</x:v>
      </x:c>
      <x:c r="E15" s="43" t="str">
        <x:v>Message reaches remote network with ordered delivery</x:v>
      </x:c>
      <x:c r="F15" s="43" t="str">
        <x:v>Not Started</x:v>
      </x:c>
      <x:c r="G15" s="43" t="str">
        <x:v>Codex/User</x:v>
      </x:c>
      <x:c r="H15" s="43" t="str"/>
      <x:c r="I15" s="43" t="str"/>
      <x:c r="J15" s="43" t="str"/>
      <x:c r="K15" s="43" t="str">
        <x:v>Simulation log</x:v>
      </x:c>
      <x:c r="L15" s="43" t="str"/>
      <x:c r="M15" s="39"/>
      <x:c r="N15" s="39"/>
      <x:c r="O15" s="39"/>
      <x:c r="P15" s="39"/>
      <x:c r="Q15" s="39"/>
      <x:c r="R15" s="39"/>
      <x:c r="S15" s="39"/>
      <x:c r="T15" s="39"/>
      <x:c r="U15" s="39"/>
      <x:c r="V15" s="39"/>
      <x:c r="W15" s="39"/>
      <x:c r="X15" s="39"/>
      <x:c r="Y15" s="39"/>
      <x:c r="Z15" s="39"/>
    </x:row>
    <x:row r="16" ht="15" hidden="0" customHeight="1">
      <x:c r="A16" s="43" t="str">
        <x:v>1.5</x:v>
      </x:c>
      <x:c r="B16" s="43" t="str">
        <x:v>1 Simulation</x:v>
      </x:c>
      <x:c r="C16" s="43" t="str">
        <x:v>Degradation Detection</x:v>
      </x:c>
      <x:c r="D16" s="43" t="str">
        <x:v>Simulate RSSI below -78 dBm for 10 seconds</x:v>
      </x:c>
      <x:c r="E16" s="43" t="str">
        <x:v>System changes to degraded/failover state</x:v>
      </x:c>
      <x:c r="F16" s="43" t="str">
        <x:v>Not Started</x:v>
      </x:c>
      <x:c r="G16" s="43" t="str">
        <x:v>Codex/User</x:v>
      </x:c>
      <x:c r="H16" s="43" t="str"/>
      <x:c r="I16" s="43" t="str"/>
      <x:c r="J16" s="43" t="str"/>
      <x:c r="K16" s="43" t="str">
        <x:v>Timestamped logs</x:v>
      </x:c>
      <x:c r="L16" s="43" t="str">
        <x:v>DOCX test alignment.</x:v>
      </x:c>
      <x:c r="M16" s="39"/>
      <x:c r="N16" s="39"/>
      <x:c r="O16" s="39"/>
      <x:c r="P16" s="39"/>
      <x:c r="Q16" s="39"/>
      <x:c r="R16" s="39"/>
      <x:c r="S16" s="39"/>
      <x:c r="T16" s="39"/>
      <x:c r="U16" s="39"/>
      <x:c r="V16" s="39"/>
      <x:c r="W16" s="39"/>
      <x:c r="X16" s="39"/>
      <x:c r="Y16" s="39"/>
      <x:c r="Z16" s="39"/>
    </x:row>
    <x:row r="17" ht="26.399999618530273" hidden="0" customHeight="1">
      <x:c r="A17" s="43" t="str">
        <x:v>1.6</x:v>
      </x:c>
      <x:c r="B17" s="43" t="str">
        <x:v>1 Simulation</x:v>
      </x:c>
      <x:c r="C17" s="43" t="str">
        <x:v>Recovery Detection</x:v>
      </x:c>
      <x:c r="D17" s="43" t="str">
        <x:v>Simulate stable MANET link for 10 seconds and return to MANET within 5 seconds</x:v>
      </x:c>
      <x:c r="E17" s="43" t="str">
        <x:v>Recovery succeeds with no message loss</x:v>
      </x:c>
      <x:c r="F17" s="43" t="str">
        <x:v>Not Started</x:v>
      </x:c>
      <x:c r="G17" s="43" t="str">
        <x:v>Codex/User</x:v>
      </x:c>
      <x:c r="H17" s="43" t="str"/>
      <x:c r="I17" s="43" t="str"/>
      <x:c r="J17" s="43" t="str"/>
      <x:c r="K17" s="43" t="str">
        <x:v>Timestamped logs</x:v>
      </x:c>
      <x:c r="L17" s="43" t="str">
        <x:v>DOCX test alignment.</x:v>
      </x:c>
      <x:c r="M17" s="39"/>
      <x:c r="N17" s="39"/>
      <x:c r="O17" s="39"/>
      <x:c r="P17" s="39"/>
      <x:c r="Q17" s="39"/>
      <x:c r="R17" s="39"/>
      <x:c r="S17" s="39"/>
      <x:c r="T17" s="39"/>
      <x:c r="U17" s="39"/>
      <x:c r="V17" s="39"/>
      <x:c r="W17" s="39"/>
      <x:c r="X17" s="39"/>
      <x:c r="Y17" s="39"/>
      <x:c r="Z17" s="39"/>
    </x:row>
    <x:row r="18" ht="15" hidden="0" customHeight="1">
      <x:c r="A18" s="43" t="str">
        <x:v>2.1</x:v>
      </x:c>
      <x:c r="B18" s="43" t="str">
        <x:v>2 ESP32 Sim</x:v>
      </x:c>
      <x:c r="C18" s="43" t="str">
        <x:v>PlatformIO Project</x:v>
      </x:c>
      <x:c r="D18" s="43" t="str">
        <x:v>Create ESP32 PlatformIO project in simulation mode</x:v>
      </x:c>
      <x:c r="E18" s="43" t="str">
        <x:v>pio run succeeds</x:v>
      </x:c>
      <x:c r="F18" s="43" t="str">
        <x:v>Not Started</x:v>
      </x:c>
      <x:c r="G18" s="43" t="str">
        <x:v>Codex</x:v>
      </x:c>
      <x:c r="H18" s="43" t="str"/>
      <x:c r="I18" s="43" t="str"/>
      <x:c r="J18" s="43" t="str"/>
      <x:c r="K18" s="43" t="str">
        <x:v>Build log</x:v>
      </x:c>
      <x:c r="L18" s="43" t="str">
        <x:v>Use Codex task C1.</x:v>
      </x:c>
      <x:c r="M18" s="39"/>
      <x:c r="N18" s="39"/>
      <x:c r="O18" s="39"/>
      <x:c r="P18" s="39"/>
      <x:c r="Q18" s="39"/>
      <x:c r="R18" s="39"/>
      <x:c r="S18" s="39"/>
      <x:c r="T18" s="39"/>
      <x:c r="U18" s="39"/>
      <x:c r="V18" s="39"/>
      <x:c r="W18" s="39"/>
      <x:c r="X18" s="39"/>
      <x:c r="Y18" s="39"/>
      <x:c r="Z18" s="39"/>
    </x:row>
    <x:row r="19" ht="26.399999618530273" hidden="0" customHeight="1">
      <x:c r="A19" s="43" t="str">
        <x:v>2.2</x:v>
      </x:c>
      <x:c r="B19" s="43" t="str">
        <x:v>2 ESP32 Sim</x:v>
      </x:c>
      <x:c r="C19" s="43" t="str">
        <x:v>Serial Debug</x:v>
      </x:c>
      <x:c r="D19" s="43" t="str">
        <x:v>Print node ID, mode, queue status, and simulated link state to Serial Monitor</x:v>
      </x:c>
      <x:c r="E19" s="43" t="str">
        <x:v>Readable serial output</x:v>
      </x:c>
      <x:c r="F19" s="43" t="str">
        <x:v>Not Started</x:v>
      </x:c>
      <x:c r="G19" s="43" t="str">
        <x:v>Codex/User</x:v>
      </x:c>
      <x:c r="H19" s="43" t="str"/>
      <x:c r="I19" s="43" t="str"/>
      <x:c r="J19" s="43" t="str"/>
      <x:c r="K19" s="43" t="str">
        <x:v>Serial screenshot</x:v>
      </x:c>
      <x:c r="L19" s="43" t="str"/>
      <x:c r="M19" s="39"/>
      <x:c r="N19" s="39"/>
      <x:c r="O19" s="39"/>
      <x:c r="P19" s="39"/>
      <x:c r="Q19" s="39"/>
      <x:c r="R19" s="39"/>
      <x:c r="S19" s="39"/>
      <x:c r="T19" s="39"/>
      <x:c r="U19" s="39"/>
      <x:c r="V19" s="39"/>
      <x:c r="W19" s="39"/>
      <x:c r="X19" s="39"/>
      <x:c r="Y19" s="39"/>
      <x:c r="Z19" s="39"/>
    </x:row>
    <x:row r="20" ht="26.399999618530273" hidden="0" customHeight="1">
      <x:c r="A20" s="43" t="str">
        <x:v>3.1</x:v>
      </x:c>
      <x:c r="B20" s="43" t="str">
        <x:v>3 ESP32 LoRa</x:v>
      </x:c>
      <x:c r="C20" s="43" t="str">
        <x:v>LoRa Wiring Doc</x:v>
      </x:c>
      <x:c r="D20" s="43" t="str">
        <x:v>Document ESP32-to-SX1278 Ra-02 wiring and pin configuration</x:v>
      </x:c>
      <x:c r="E20" s="43" t="str">
        <x:v>Wiring sheet/config updated</x:v>
      </x:c>
      <x:c r="F20" s="43" t="str">
        <x:v>Not Started</x:v>
      </x:c>
      <x:c r="G20" s="43" t="str">
        <x:v>Codex/User</x:v>
      </x:c>
      <x:c r="H20" s="43" t="str"/>
      <x:c r="I20" s="43" t="str"/>
      <x:c r="J20" s="43" t="str"/>
      <x:c r="K20" s="43" t="str">
        <x:v>Wiring doc</x:v>
      </x:c>
      <x:c r="L20" s="43" t="str"/>
      <x:c r="M20" s="39"/>
      <x:c r="N20" s="39"/>
      <x:c r="O20" s="39"/>
      <x:c r="P20" s="39"/>
      <x:c r="Q20" s="39"/>
      <x:c r="R20" s="39"/>
      <x:c r="S20" s="39"/>
      <x:c r="T20" s="39"/>
      <x:c r="U20" s="39"/>
      <x:c r="V20" s="39"/>
      <x:c r="W20" s="39"/>
      <x:c r="X20" s="39"/>
      <x:c r="Y20" s="39"/>
      <x:c r="Z20" s="39"/>
    </x:row>
    <x:row r="21" ht="15" hidden="0" customHeight="1">
      <x:c r="A21" s="43" t="str">
        <x:v>3.2</x:v>
      </x:c>
      <x:c r="B21" s="43" t="str">
        <x:v>3 ESP32 LoRa</x:v>
      </x:c>
      <x:c r="C21" s="43" t="str">
        <x:v>LoRa Send/Receive</x:v>
      </x:c>
      <x:c r="D21" s="43" t="str">
        <x:v>Implement LoRa packet send/receive</x:v>
      </x:c>
      <x:c r="E21" s="43" t="str">
        <x:v>Two nodes exchange packets</x:v>
      </x:c>
      <x:c r="F21" s="43" t="str">
        <x:v>Not Started</x:v>
      </x:c>
      <x:c r="G21" s="43" t="str">
        <x:v>Codex/User</x:v>
      </x:c>
      <x:c r="H21" s="43" t="str"/>
      <x:c r="I21" s="43" t="str"/>
      <x:c r="J21" s="43" t="str"/>
      <x:c r="K21" s="43" t="str">
        <x:v>Serial logs</x:v>
      </x:c>
      <x:c r="L21" s="43" t="str"/>
      <x:c r="M21" s="39"/>
      <x:c r="N21" s="39"/>
      <x:c r="O21" s="39"/>
      <x:c r="P21" s="39"/>
      <x:c r="Q21" s="39"/>
      <x:c r="R21" s="39"/>
      <x:c r="S21" s="39"/>
      <x:c r="T21" s="39"/>
      <x:c r="U21" s="39"/>
      <x:c r="V21" s="39"/>
      <x:c r="W21" s="39"/>
      <x:c r="X21" s="39"/>
      <x:c r="Y21" s="39"/>
      <x:c r="Z21" s="39"/>
    </x:row>
    <x:row r="22" ht="15" hidden="0" customHeight="1">
      <x:c r="A22" s="43" t="str">
        <x:v>3.3</x:v>
      </x:c>
      <x:c r="B22" s="43" t="str">
        <x:v>3 ESP32 LoRa</x:v>
      </x:c>
      <x:c r="C22" s="43" t="str">
        <x:v>ACK/Retry</x:v>
      </x:c>
      <x:c r="D22" s="43" t="str">
        <x:v>Implement ACK, retry, duplicate filter</x:v>
      </x:c>
      <x:c r="E22" s="43" t="str">
        <x:v>Message delivery improves under packet loss</x:v>
      </x:c>
      <x:c r="F22" s="43" t="str">
        <x:v>Not Started</x:v>
      </x:c>
      <x:c r="G22" s="43" t="str">
        <x:v>Codex/User</x:v>
      </x:c>
      <x:c r="H22" s="43" t="str"/>
      <x:c r="I22" s="43" t="str"/>
      <x:c r="J22" s="43" t="str"/>
      <x:c r="K22" s="43" t="str">
        <x:v>Serial logs</x:v>
      </x:c>
      <x:c r="L22" s="43" t="str"/>
      <x:c r="M22" s="39"/>
      <x:c r="N22" s="39"/>
      <x:c r="O22" s="39"/>
      <x:c r="P22" s="39"/>
      <x:c r="Q22" s="39"/>
      <x:c r="R22" s="39"/>
      <x:c r="S22" s="39"/>
      <x:c r="T22" s="39"/>
      <x:c r="U22" s="39"/>
      <x:c r="V22" s="39"/>
      <x:c r="W22" s="39"/>
      <x:c r="X22" s="39"/>
      <x:c r="Y22" s="39"/>
      <x:c r="Z22" s="39"/>
    </x:row>
    <x:row r="23" ht="15" hidden="0" customHeight="1">
      <x:c r="A23" s="43" t="str">
        <x:v>4.1</x:v>
      </x:c>
      <x:c r="B23" s="43" t="str">
        <x:v>4 Gateway</x:v>
      </x:c>
      <x:c r="C23" s="43" t="str">
        <x:v>Gateway Simulation</x:v>
      </x:c>
      <x:c r="D23" s="43" t="str">
        <x:v>Create Python/Flask gateway simulation service</x:v>
      </x:c>
      <x:c r="E23" s="43" t="str">
        <x:v>Runs on Mac/RPi in simulation mode</x:v>
      </x:c>
      <x:c r="F23" s="43" t="str">
        <x:v>Not Started</x:v>
      </x:c>
      <x:c r="G23" s="43" t="str">
        <x:v>Codex</x:v>
      </x:c>
      <x:c r="H23" s="43" t="str"/>
      <x:c r="I23" s="43" t="str"/>
      <x:c r="J23" s="43" t="str"/>
      <x:c r="K23" s="43" t="str">
        <x:v>Dashboard screenshot</x:v>
      </x:c>
      <x:c r="L23" s="43" t="str">
        <x:v>Use Codex task C3.</x:v>
      </x:c>
      <x:c r="M23" s="39"/>
      <x:c r="N23" s="39"/>
      <x:c r="O23" s="39"/>
      <x:c r="P23" s="39"/>
      <x:c r="Q23" s="39"/>
      <x:c r="R23" s="39"/>
      <x:c r="S23" s="39"/>
      <x:c r="T23" s="39"/>
      <x:c r="U23" s="39"/>
      <x:c r="V23" s="39"/>
      <x:c r="W23" s="39"/>
      <x:c r="X23" s="39"/>
      <x:c r="Y23" s="39"/>
      <x:c r="Z23" s="39"/>
    </x:row>
    <x:row r="24" ht="26.399999618530273" hidden="0" customHeight="1">
      <x:c r="A24" s="43" t="str">
        <x:v>4.2</x:v>
      </x:c>
      <x:c r="B24" s="43" t="str">
        <x:v>4 Gateway</x:v>
      </x:c>
      <x:c r="C24" s="43" t="str">
        <x:v>LoRa SPI Integration</x:v>
      </x:c>
      <x:c r="D24" s="43" t="str">
        <x:v>Connect Raspberry Pi 3B directly to LoRa module via SPI through hardware abstraction layer</x:v>
      </x:c>
      <x:c r="E24" s="43" t="str">
        <x:v>Gateway receives node heartbeats</x:v>
      </x:c>
      <x:c r="F24" s="43" t="str">
        <x:v>Not Started</x:v>
      </x:c>
      <x:c r="G24" s="43" t="str">
        <x:v>Codex/User</x:v>
      </x:c>
      <x:c r="H24" s="43" t="str"/>
      <x:c r="I24" s="43" t="str"/>
      <x:c r="J24" s="43" t="str"/>
      <x:c r="K24" s="43" t="str">
        <x:v>RPi logs</x:v>
      </x:c>
      <x:c r="L24" s="43" t="str"/>
      <x:c r="M24" s="39"/>
      <x:c r="N24" s="39"/>
      <x:c r="O24" s="39"/>
      <x:c r="P24" s="39"/>
      <x:c r="Q24" s="39"/>
      <x:c r="R24" s="39"/>
      <x:c r="S24" s="39"/>
      <x:c r="T24" s="39"/>
      <x:c r="U24" s="39"/>
      <x:c r="V24" s="39"/>
      <x:c r="W24" s="39"/>
      <x:c r="X24" s="39"/>
      <x:c r="Y24" s="39"/>
      <x:c r="Z24" s="39"/>
    </x:row>
    <x:row r="25" ht="26.399999618530273" hidden="0" customHeight="1">
      <x:c r="A25" s="43" t="str">
        <x:v>5.1</x:v>
      </x:c>
      <x:c r="B25" s="43" t="str">
        <x:v>5 Router Link</x:v>
      </x:c>
      <x:c r="C25" s="43" t="str">
        <x:v>Router-to-Router Link</x:v>
      </x:c>
      <x:c r="D25" s="43" t="str">
        <x:v>Configure/verify two WiFi routers connected wirelessly as simulated satellite path</x:v>
      </x:c>
      <x:c r="E25" s="43" t="str">
        <x:v>Gateway A can ping Gateway B through router path</x:v>
      </x:c>
      <x:c r="F25" s="43" t="str">
        <x:v>Not Started</x:v>
      </x:c>
      <x:c r="G25" s="43" t="str">
        <x:v>User</x:v>
      </x:c>
      <x:c r="H25" s="43" t="str"/>
      <x:c r="I25" s="43" t="str"/>
      <x:c r="J25" s="43" t="str"/>
      <x:c r="K25" s="43" t="str">
        <x:v>Ping log</x:v>
      </x:c>
      <x:c r="L25" s="43" t="str"/>
      <x:c r="M25" s="39"/>
      <x:c r="N25" s="39"/>
      <x:c r="O25" s="39"/>
      <x:c r="P25" s="39"/>
      <x:c r="Q25" s="39"/>
      <x:c r="R25" s="39"/>
      <x:c r="S25" s="39"/>
      <x:c r="T25" s="39"/>
      <x:c r="U25" s="39"/>
      <x:c r="V25" s="39"/>
      <x:c r="W25" s="39"/>
      <x:c r="X25" s="39"/>
      <x:c r="Y25" s="39"/>
      <x:c r="Z25" s="39"/>
    </x:row>
    <x:row r="26" ht="26.399999618530273" hidden="0" customHeight="1">
      <x:c r="A26" s="43" t="str">
        <x:v>5.2</x:v>
      </x:c>
      <x:c r="B26" s="43" t="str">
        <x:v>5 Router Link</x:v>
      </x:c>
      <x:c r="C26" s="43" t="str">
        <x:v>Latency Simulation</x:v>
      </x:c>
      <x:c r="D26" s="43" t="str">
        <x:v>Apply 500-700 ms simulated latency using Linux tc/netem where applicable</x:v>
      </x:c>
      <x:c r="E26" s="43" t="str">
        <x:v>Latency measured in logs</x:v>
      </x:c>
      <x:c r="F26" s="43" t="str">
        <x:v>Not Started</x:v>
      </x:c>
      <x:c r="G26" s="43" t="str">
        <x:v>User/Codex</x:v>
      </x:c>
      <x:c r="H26" s="43" t="str"/>
      <x:c r="I26" s="43" t="str"/>
      <x:c r="J26" s="43" t="str"/>
      <x:c r="K26" s="43" t="str">
        <x:v>Ping log</x:v>
      </x:c>
      <x:c r="L26" s="43" t="str"/>
      <x:c r="M26" s="39"/>
      <x:c r="N26" s="39"/>
      <x:c r="O26" s="39"/>
      <x:c r="P26" s="39"/>
      <x:c r="Q26" s="39"/>
      <x:c r="R26" s="39"/>
      <x:c r="S26" s="39"/>
      <x:c r="T26" s="39"/>
      <x:c r="U26" s="39"/>
      <x:c r="V26" s="39"/>
      <x:c r="W26" s="39"/>
      <x:c r="X26" s="39"/>
      <x:c r="Y26" s="39"/>
      <x:c r="Z26" s="39"/>
    </x:row>
    <x:row r="27" ht="26.399999618530273" hidden="0" customHeight="1">
      <x:c r="A27" s="43" t="str">
        <x:v>6.1</x:v>
      </x:c>
      <x:c r="B27" s="43" t="str">
        <x:v>6 Failover</x:v>
      </x:c>
      <x:c r="C27" s="43" t="str">
        <x:v>Failover State Machine</x:v>
      </x:c>
      <x:c r="D27" s="43" t="str">
        <x:v>Implement RSSI &lt; -78 dBm for 10 seconds and ACK/timeout failover triggers</x:v>
      </x:c>
      <x:c r="E27" s="43" t="str">
        <x:v>Failover starts within 10 seconds</x:v>
      </x:c>
      <x:c r="F27" s="43" t="str">
        <x:v>Not Started</x:v>
      </x:c>
      <x:c r="G27" s="43" t="str">
        <x:v>Codex/User</x:v>
      </x:c>
      <x:c r="H27" s="43" t="str"/>
      <x:c r="I27" s="43" t="str"/>
      <x:c r="J27" s="43" t="str"/>
      <x:c r="K27" s="43" t="str">
        <x:v>Test log</x:v>
      </x:c>
      <x:c r="L27" s="43" t="str">
        <x:v>Use Codex task C5.</x:v>
      </x:c>
      <x:c r="M27" s="39"/>
      <x:c r="N27" s="39"/>
      <x:c r="O27" s="39"/>
      <x:c r="P27" s="39"/>
      <x:c r="Q27" s="39"/>
      <x:c r="R27" s="39"/>
      <x:c r="S27" s="39"/>
      <x:c r="T27" s="39"/>
      <x:c r="U27" s="39"/>
      <x:c r="V27" s="39"/>
      <x:c r="W27" s="39"/>
      <x:c r="X27" s="39"/>
      <x:c r="Y27" s="39"/>
      <x:c r="Z27" s="39"/>
    </x:row>
    <x:row r="28" ht="15" hidden="0" customHeight="1">
      <x:c r="A28" s="43" t="str">
        <x:v>6.2</x:v>
      </x:c>
      <x:c r="B28" s="43" t="str">
        <x:v>6 Failover</x:v>
      </x:c>
      <x:c r="C28" s="43" t="str">
        <x:v>Store and Forward</x:v>
      </x:c>
      <x:c r="D28" s="43" t="str">
        <x:v>Buffer messages during failover and preserve order</x:v>
      </x:c>
      <x:c r="E28" s="43" t="str">
        <x:v>No message loss during route switch</x:v>
      </x:c>
      <x:c r="F28" s="43" t="str">
        <x:v>Not Started</x:v>
      </x:c>
      <x:c r="G28" s="43" t="str">
        <x:v>Codex/User</x:v>
      </x:c>
      <x:c r="H28" s="43" t="str"/>
      <x:c r="I28" s="43" t="str"/>
      <x:c r="J28" s="43" t="str"/>
      <x:c r="K28" s="43" t="str">
        <x:v>Queue logs</x:v>
      </x:c>
      <x:c r="L28" s="43" t="str"/>
      <x:c r="M28" s="39"/>
      <x:c r="N28" s="39"/>
      <x:c r="O28" s="39"/>
      <x:c r="P28" s="39"/>
      <x:c r="Q28" s="39"/>
      <x:c r="R28" s="39"/>
      <x:c r="S28" s="39"/>
      <x:c r="T28" s="39"/>
      <x:c r="U28" s="39"/>
      <x:c r="V28" s="39"/>
      <x:c r="W28" s="39"/>
      <x:c r="X28" s="39"/>
      <x:c r="Y28" s="39"/>
      <x:c r="Z28" s="39"/>
    </x:row>
    <x:row r="29" ht="26.399999618530273" hidden="0" customHeight="1">
      <x:c r="A29" s="43" t="str">
        <x:v>6.3</x:v>
      </x:c>
      <x:c r="B29" s="43" t="str">
        <x:v>6 Failover</x:v>
      </x:c>
      <x:c r="C29" s="43" t="str">
        <x:v>Recovery</x:v>
      </x:c>
      <x:c r="D29" s="43" t="str">
        <x:v>Return to MANET after stable link for 10 seconds; complete switch within 5 seconds</x:v>
      </x:c>
      <x:c r="E29" s="43" t="str">
        <x:v>Recovery passes acceptance criteria</x:v>
      </x:c>
      <x:c r="F29" s="43" t="str">
        <x:v>Not Started</x:v>
      </x:c>
      <x:c r="G29" s="43" t="str">
        <x:v>Codex/User</x:v>
      </x:c>
      <x:c r="H29" s="43" t="str"/>
      <x:c r="I29" s="43" t="str"/>
      <x:c r="J29" s="43" t="str"/>
      <x:c r="K29" s="43" t="str">
        <x:v>Timestamped logs</x:v>
      </x:c>
      <x:c r="L29" s="43" t="str"/>
      <x:c r="M29" s="39"/>
      <x:c r="N29" s="39"/>
      <x:c r="O29" s="39"/>
      <x:c r="P29" s="39"/>
      <x:c r="Q29" s="39"/>
      <x:c r="R29" s="39"/>
      <x:c r="S29" s="39"/>
      <x:c r="T29" s="39"/>
      <x:c r="U29" s="39"/>
      <x:c r="V29" s="39"/>
      <x:c r="W29" s="39"/>
      <x:c r="X29" s="39"/>
      <x:c r="Y29" s="39"/>
      <x:c r="Z29" s="39"/>
    </x:row>
    <x:row r="30" ht="15" hidden="0" customHeight="1">
      <x:c r="A30" s="43" t="str">
        <x:v>7.1</x:v>
      </x:c>
      <x:c r="B30" s="43" t="str">
        <x:v>7 Android</x:v>
      </x:c>
      <x:c r="C30" s="43" t="str">
        <x:v>Android Project</x:v>
      </x:c>
      <x:c r="D30" s="43" t="str">
        <x:v>Create Android Studio Kotlin app MVP</x:v>
      </x:c>
      <x:c r="E30" s="43" t="str">
        <x:v>Project builds</x:v>
      </x:c>
      <x:c r="F30" s="43" t="str">
        <x:v>Not Started</x:v>
      </x:c>
      <x:c r="G30" s="43" t="str">
        <x:v>Codex/User</x:v>
      </x:c>
      <x:c r="H30" s="43" t="str"/>
      <x:c r="I30" s="43" t="str"/>
      <x:c r="J30" s="43" t="str"/>
      <x:c r="K30" s="43" t="str">
        <x:v>Build screenshot</x:v>
      </x:c>
      <x:c r="L30" s="43" t="str">
        <x:v>Use Codex task C6.</x:v>
      </x:c>
      <x:c r="M30" s="39"/>
      <x:c r="N30" s="39"/>
      <x:c r="O30" s="39"/>
      <x:c r="P30" s="39"/>
      <x:c r="Q30" s="39"/>
      <x:c r="R30" s="39"/>
      <x:c r="S30" s="39"/>
      <x:c r="T30" s="39"/>
      <x:c r="U30" s="39"/>
      <x:c r="V30" s="39"/>
      <x:c r="W30" s="39"/>
      <x:c r="X30" s="39"/>
      <x:c r="Y30" s="39"/>
      <x:c r="Z30" s="39"/>
    </x:row>
    <x:row r="31" ht="26.399999618530273" hidden="0" customHeight="1">
      <x:c r="A31" s="43" t="str">
        <x:v>7.2</x:v>
      </x:c>
      <x:c r="B31" s="43" t="str">
        <x:v>7 Android</x:v>
      </x:c>
      <x:c r="C31" s="43" t="str">
        <x:v>Bluetooth Pairing</x:v>
      </x:c>
      <x:c r="D31" s="43" t="str">
        <x:v>Pair Android phone to assigned ESP32 node via Bluetooth</x:v>
      </x:c>
      <x:c r="E31" s="43" t="str">
        <x:v>Phone can send test message to node</x:v>
      </x:c>
      <x:c r="F31" s="43" t="str">
        <x:v>Not Started</x:v>
      </x:c>
      <x:c r="G31" s="43" t="str">
        <x:v>Codex/User</x:v>
      </x:c>
      <x:c r="H31" s="43" t="str"/>
      <x:c r="I31" s="43" t="str"/>
      <x:c r="J31" s="43" t="str"/>
      <x:c r="K31" s="43" t="str">
        <x:v>App screenshot/serial log</x:v>
      </x:c>
      <x:c r="L31" s="43" t="str"/>
      <x:c r="M31" s="39"/>
      <x:c r="N31" s="39"/>
      <x:c r="O31" s="39"/>
      <x:c r="P31" s="39"/>
      <x:c r="Q31" s="39"/>
      <x:c r="R31" s="39"/>
      <x:c r="S31" s="39"/>
      <x:c r="T31" s="39"/>
      <x:c r="U31" s="39"/>
      <x:c r="V31" s="39"/>
      <x:c r="W31" s="39"/>
      <x:c r="X31" s="39"/>
      <x:c r="Y31" s="39"/>
      <x:c r="Z31" s="39"/>
    </x:row>
    <x:row r="32" ht="15" hidden="0" customHeight="1">
      <x:c r="A32" s="43" t="str">
        <x:v>7.3</x:v>
      </x:c>
      <x:c r="B32" s="43" t="str">
        <x:v>7 Android</x:v>
      </x:c>
      <x:c r="C32" s="43" t="str">
        <x:v>Network Selection</x:v>
      </x:c>
      <x:c r="D32" s="43" t="str">
        <x:v>Add Auto, LoRa, WiFi, GSM manual mode selector</x:v>
      </x:c>
      <x:c r="E32" s="43" t="str">
        <x:v>UI and internal state work</x:v>
      </x:c>
      <x:c r="F32" s="43" t="str">
        <x:v>Not Started</x:v>
      </x:c>
      <x:c r="G32" s="43" t="str">
        <x:v>Codex/User</x:v>
      </x:c>
      <x:c r="H32" s="43" t="str"/>
      <x:c r="I32" s="43" t="str"/>
      <x:c r="J32" s="43" t="str"/>
      <x:c r="K32" s="43" t="str">
        <x:v>App screenshot</x:v>
      </x:c>
      <x:c r="L32" s="43" t="str"/>
      <x:c r="M32" s="39"/>
      <x:c r="N32" s="39"/>
      <x:c r="O32" s="39"/>
      <x:c r="P32" s="39"/>
      <x:c r="Q32" s="39"/>
      <x:c r="R32" s="39"/>
      <x:c r="S32" s="39"/>
      <x:c r="T32" s="39"/>
      <x:c r="U32" s="39"/>
      <x:c r="V32" s="39"/>
      <x:c r="W32" s="39"/>
      <x:c r="X32" s="39"/>
      <x:c r="Y32" s="39"/>
      <x:c r="Z32" s="39"/>
    </x:row>
    <x:row r="33" ht="26.399999618530273" hidden="0" customHeight="1">
      <x:c r="A33" s="43" t="str">
        <x:v>8.1</x:v>
      </x:c>
      <x:c r="B33" s="43" t="str">
        <x:v>8 Test Campaign</x:v>
      </x:c>
      <x:c r="C33" s="43" t="str">
        <x:v>Baseline Test</x:v>
      </x:c>
      <x:c r="D33" s="43" t="str">
        <x:v>Run DOCX baseline operation test</x:v>
      </x:c>
      <x:c r="E33" s="43" t="str">
        <x:v>PDR &gt;=95%, MANET forms &lt;30 sec, satellite inactive</x:v>
      </x:c>
      <x:c r="F33" s="43" t="str">
        <x:v>Not Started</x:v>
      </x:c>
      <x:c r="G33" s="43" t="str">
        <x:v>User</x:v>
      </x:c>
      <x:c r="H33" s="43" t="str"/>
      <x:c r="I33" s="43" t="str"/>
      <x:c r="J33" s="43" t="str"/>
      <x:c r="K33" s="43" t="str">
        <x:v>Test report</x:v>
      </x:c>
      <x:c r="L33" s="43" t="str"/>
      <x:c r="M33" s="39"/>
      <x:c r="N33" s="39"/>
      <x:c r="O33" s="39"/>
      <x:c r="P33" s="39"/>
      <x:c r="Q33" s="39"/>
      <x:c r="R33" s="39"/>
      <x:c r="S33" s="39"/>
      <x:c r="T33" s="39"/>
      <x:c r="U33" s="39"/>
      <x:c r="V33" s="39"/>
      <x:c r="W33" s="39"/>
      <x:c r="X33" s="39"/>
      <x:c r="Y33" s="39"/>
      <x:c r="Z33" s="39"/>
    </x:row>
    <x:row r="34" ht="15" hidden="0" customHeight="1">
      <x:c r="A34" s="43" t="str">
        <x:v>8.2</x:v>
      </x:c>
      <x:c r="B34" s="43" t="str">
        <x:v>8 Test Campaign</x:v>
      </x:c>
      <x:c r="C34" s="43" t="str">
        <x:v>Degradation Test</x:v>
      </x:c>
      <x:c r="D34" s="43" t="str">
        <x:v>Run DOCX degradation detection test</x:v>
      </x:c>
      <x:c r="E34" s="43" t="str">
        <x:v>RSSI &lt; -78 dBm for 10 seconds detected</x:v>
      </x:c>
      <x:c r="F34" s="43" t="str">
        <x:v>Not Started</x:v>
      </x:c>
      <x:c r="G34" s="43" t="str">
        <x:v>User</x:v>
      </x:c>
      <x:c r="H34" s="43" t="str"/>
      <x:c r="I34" s="43" t="str"/>
      <x:c r="J34" s="43" t="str"/>
      <x:c r="K34" s="43" t="str">
        <x:v>Test report</x:v>
      </x:c>
      <x:c r="L34" s="43" t="str"/>
      <x:c r="M34" s="39"/>
      <x:c r="N34" s="39"/>
      <x:c r="O34" s="39"/>
      <x:c r="P34" s="39"/>
      <x:c r="Q34" s="39"/>
      <x:c r="R34" s="39"/>
      <x:c r="S34" s="39"/>
      <x:c r="T34" s="39"/>
      <x:c r="U34" s="39"/>
      <x:c r="V34" s="39"/>
      <x:c r="W34" s="39"/>
      <x:c r="X34" s="39"/>
      <x:c r="Y34" s="39"/>
      <x:c r="Z34" s="39"/>
    </x:row>
    <x:row r="35" ht="15" hidden="0" customHeight="1">
      <x:c r="A35" s="43" t="str">
        <x:v>8.3</x:v>
      </x:c>
      <x:c r="B35" s="43" t="str">
        <x:v>8 Test Campaign</x:v>
      </x:c>
      <x:c r="C35" s="43" t="str">
        <x:v>Failover Test</x:v>
      </x:c>
      <x:c r="D35" s="43" t="str">
        <x:v>Run DOCX failover activation test</x:v>
      </x:c>
      <x:c r="E35" s="43" t="str">
        <x:v>Failover trigger time = 10 seconds</x:v>
      </x:c>
      <x:c r="F35" s="43" t="str">
        <x:v>Not Started</x:v>
      </x:c>
      <x:c r="G35" s="43" t="str">
        <x:v>User</x:v>
      </x:c>
      <x:c r="H35" s="43" t="str"/>
      <x:c r="I35" s="43" t="str"/>
      <x:c r="J35" s="43" t="str"/>
      <x:c r="K35" s="43" t="str">
        <x:v>Test report</x:v>
      </x:c>
      <x:c r="L35" s="43" t="str"/>
      <x:c r="M35" s="39"/>
      <x:c r="N35" s="39"/>
      <x:c r="O35" s="39"/>
      <x:c r="P35" s="39"/>
      <x:c r="Q35" s="39"/>
      <x:c r="R35" s="39"/>
      <x:c r="S35" s="39"/>
      <x:c r="T35" s="39"/>
      <x:c r="U35" s="39"/>
      <x:c r="V35" s="39"/>
      <x:c r="W35" s="39"/>
      <x:c r="X35" s="39"/>
      <x:c r="Y35" s="39"/>
      <x:c r="Z35" s="39"/>
    </x:row>
    <x:row r="36" ht="15" hidden="0" customHeight="1">
      <x:c r="A36" s="43" t="str">
        <x:v>8.4</x:v>
      </x:c>
      <x:c r="B36" s="43" t="str">
        <x:v>8 Test Campaign</x:v>
      </x:c>
      <x:c r="C36" s="43" t="str">
        <x:v>Sustained Operation</x:v>
      </x:c>
      <x:c r="D36" s="43" t="str">
        <x:v>Run 24-hour sustained emergency operation test</x:v>
      </x:c>
      <x:c r="E36" s="43" t="str">
        <x:v>Uptime &gt;=80%; no unrecoverable failure</x:v>
      </x:c>
      <x:c r="F36" s="43" t="str">
        <x:v>Not Started</x:v>
      </x:c>
      <x:c r="G36" s="43" t="str">
        <x:v>User</x:v>
      </x:c>
      <x:c r="H36" s="43" t="str"/>
      <x:c r="I36" s="43" t="str"/>
      <x:c r="J36" s="43" t="str"/>
      <x:c r="K36" s="43" t="str">
        <x:v>Test report</x:v>
      </x:c>
      <x:c r="L36" s="43" t="str"/>
      <x:c r="M36" s="39"/>
      <x:c r="N36" s="39"/>
      <x:c r="O36" s="39"/>
      <x:c r="P36" s="39"/>
      <x:c r="Q36" s="39"/>
      <x:c r="R36" s="39"/>
      <x:c r="S36" s="39"/>
      <x:c r="T36" s="39"/>
      <x:c r="U36" s="39"/>
      <x:c r="V36" s="39"/>
      <x:c r="W36" s="39"/>
      <x:c r="X36" s="39"/>
      <x:c r="Y36" s="39"/>
      <x:c r="Z36" s="39"/>
    </x:row>
    <x:row r="37" ht="26.399999618530273" hidden="0" customHeight="1">
      <x:c r="A37" s="43" t="str">
        <x:v>8.5</x:v>
      </x:c>
      <x:c r="B37" s="43" t="str">
        <x:v>8 Test Campaign</x:v>
      </x:c>
      <x:c r="C37" s="43" t="str">
        <x:v>Recovery Test</x:v>
      </x:c>
      <x:c r="D37" s="43" t="str">
        <x:v>Run DOCX recovery/reversion test</x:v>
      </x:c>
      <x:c r="E37" s="43" t="str">
        <x:v>Switch back within 5 seconds with no message loss</x:v>
      </x:c>
      <x:c r="F37" s="43" t="str">
        <x:v>Not Started</x:v>
      </x:c>
      <x:c r="G37" s="43" t="str">
        <x:v>User</x:v>
      </x:c>
      <x:c r="H37" s="43" t="str"/>
      <x:c r="I37" s="43" t="str"/>
      <x:c r="J37" s="43" t="str"/>
      <x:c r="K37" s="43" t="str">
        <x:v>Test report</x:v>
      </x:c>
      <x:c r="L37" s="43" t="str"/>
      <x:c r="M37" s="39"/>
      <x:c r="N37" s="39"/>
      <x:c r="O37" s="39"/>
      <x:c r="P37" s="39"/>
      <x:c r="Q37" s="39"/>
      <x:c r="R37" s="39"/>
      <x:c r="S37" s="39"/>
      <x:c r="T37" s="39"/>
      <x:c r="U37" s="39"/>
      <x:c r="V37" s="39"/>
      <x:c r="W37" s="39"/>
      <x:c r="X37" s="39"/>
      <x:c r="Y37" s="39"/>
      <x:c r="Z37" s="39"/>
    </x:row>
    <x:row r="38" ht="15" hidden="0" customHeight="1">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ht="15" hidden="0" customHeight="1">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ht="15" hidden="0" customHeight="1">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ht="15" hidden="0" customHeight="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ht="15" hidden="0" customHeight="1">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ht="15" hidden="0" customHeight="1">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ht="15" hidden="0" customHeight="1">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ht="15" hidden="0" customHeight="1">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L1"/>
  </x:mergeCells>
  <x:dataValidations count="2">
    <x:dataValidation type="list" sqref="F3:F200">
      <x:formula1>"Not Started,In Progress,Done,Blocked,Skipped"</x:formula1>
    </x:dataValidation>
    <x:dataValidation type="list" sqref="F3:F45">
      <x:formula1>"Not Started,In Progress,Blocked,Completed,Skipped,Planned,Available"</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8" hidden="0" customWidth="1"/>
    <x:col min="3" max="3" width="22" hidden="0" customWidth="1"/>
    <x:col min="4" max="4" width="38" hidden="0" customWidth="1"/>
    <x:col min="5" max="5" width="18" hidden="0" customWidth="1"/>
    <x:col min="6" max="6" width="12" hidden="0" customWidth="1"/>
    <x:col min="7" max="7" width="32" hidden="0" customWidth="1"/>
    <x:col min="8" max="8" width="34" hidden="0" customWidth="1"/>
    <x:col min="9" max="9" width="14" hidden="0" customWidth="1"/>
    <x:col min="10" max="10" width="42" hidden="0" customWidth="1"/>
  </x:cols>
  <x:sheetData>
    <x:row r="1">
      <x:c r="A1" s="38" t="str">
        <x:v>Hardware Bill of Materials and Notes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42" t="str">
        <x:v>Item</x:v>
      </x:c>
      <x:c r="B3" s="42" t="str">
        <x:v>Qty</x:v>
      </x:c>
      <x:c r="C3" s="42" t="str">
        <x:v>Use</x:v>
      </x:c>
      <x:c r="D3" s="42" t="str">
        <x:v>Recommended Spec</x:v>
      </x:c>
      <x:c r="E3" s="42" t="str">
        <x:v>Already Available?</x:v>
      </x:c>
      <x:c r="F3" s="42" t="str">
        <x:v>Priority</x:v>
      </x:c>
      <x:c r="G3" s="42" t="str">
        <x:v>Risk</x:v>
      </x:c>
      <x:c r="H3" s="42" t="str">
        <x:v>Validation Test</x:v>
      </x:c>
      <x:c r="I3" s="42" t="str">
        <x:v>Status</x:v>
      </x:c>
      <x:c r="J3" s="42" t="str">
        <x:v>Notes</x:v>
      </x:c>
      <x:c r="K3" s="39"/>
      <x:c r="L3" s="39"/>
      <x:c r="M3" s="39"/>
      <x:c r="N3" s="39"/>
      <x:c r="O3" s="39"/>
      <x:c r="P3" s="39"/>
      <x:c r="Q3" s="39"/>
      <x:c r="R3" s="39"/>
      <x:c r="S3" s="39"/>
      <x:c r="T3" s="39"/>
      <x:c r="U3" s="39"/>
      <x:c r="V3" s="39"/>
      <x:c r="W3" s="39"/>
      <x:c r="X3" s="39"/>
      <x:c r="Y3" s="39"/>
      <x:c r="Z3" s="39"/>
    </x:row>
    <x:row r="4">
      <x:c r="A4" s="43" t="str">
        <x:v>ESP32 Dev Board</x:v>
      </x:c>
      <x:c r="B4" s="43" t="str">
        <x:v>6+</x:v>
      </x:c>
      <x:c r="C4" s="43" t="str">
        <x:v>MANET nodes</x:v>
      </x:c>
      <x:c r="D4" s="43" t="str">
        <x:v>ESP32 WROOM-32 acceptable; ESP32-S3 optional</x:v>
      </x:c>
      <x:c r="E4" s="43" t="str">
        <x:v>Yes/confirm</x:v>
      </x:c>
      <x:c r="F4" s="43" t="str">
        <x:v>High</x:v>
      </x:c>
      <x:c r="G4" s="43" t="str">
        <x:v>Pin/library differences</x:v>
      </x:c>
      <x:c r="H4" s="43" t="str">
        <x:v>Blink + serial + LoRa init</x:v>
      </x:c>
      <x:c r="I4" s="43" t="str">
        <x:v>Planned</x:v>
      </x:c>
      <x:c r="J4" s="43" t="str">
        <x:v>Use same board type if possible.</x:v>
      </x:c>
      <x:c r="K4" s="39"/>
      <x:c r="L4" s="39"/>
      <x:c r="M4" s="39"/>
      <x:c r="N4" s="39"/>
      <x:c r="O4" s="39"/>
      <x:c r="P4" s="39"/>
      <x:c r="Q4" s="39"/>
      <x:c r="R4" s="39"/>
      <x:c r="S4" s="39"/>
      <x:c r="T4" s="39"/>
      <x:c r="U4" s="39"/>
      <x:c r="V4" s="39"/>
      <x:c r="W4" s="39"/>
      <x:c r="X4" s="39"/>
      <x:c r="Y4" s="39"/>
      <x:c r="Z4" s="39"/>
    </x:row>
    <x:row r="5">
      <x:c r="A5" s="43" t="str">
        <x:v>SX1278 Ra-02 433 MHz</x:v>
      </x:c>
      <x:c r="B5" s="43" t="str">
        <x:v>8</x:v>
      </x:c>
      <x:c r="C5" s="43" t="str">
        <x:v>6 nodes + 2 gateways</x:v>
      </x:c>
      <x:c r="D5" s="43" t="str">
        <x:v>433 MHz module with correct antenna</x:v>
      </x:c>
      <x:c r="E5" s="43" t="str">
        <x:v>Yes/confirm</x:v>
      </x:c>
      <x:c r="F5" s="43" t="str">
        <x:v>High</x:v>
      </x:c>
      <x:c r="G5" s="43" t="str">
        <x:v>Regulatory/power limits; bad antenna</x:v>
      </x:c>
      <x:c r="H5" s="43" t="str">
        <x:v>LoRa send/receive at short range</x:v>
      </x:c>
      <x:c r="I5" s="43" t="str">
        <x:v>Planned</x:v>
      </x:c>
      <x:c r="J5" s="43" t="str">
        <x:v>Use low power for prototype.</x:v>
      </x:c>
      <x:c r="K5" s="39"/>
      <x:c r="L5" s="39"/>
      <x:c r="M5" s="39"/>
      <x:c r="N5" s="39"/>
      <x:c r="O5" s="39"/>
      <x:c r="P5" s="39"/>
      <x:c r="Q5" s="39"/>
      <x:c r="R5" s="39"/>
      <x:c r="S5" s="39"/>
      <x:c r="T5" s="39"/>
      <x:c r="U5" s="39"/>
      <x:c r="V5" s="39"/>
      <x:c r="W5" s="39"/>
      <x:c r="X5" s="39"/>
      <x:c r="Y5" s="39"/>
      <x:c r="Z5" s="39"/>
    </x:row>
    <x:row r="6">
      <x:c r="A6" s="43" t="str">
        <x:v>Raspberry Pi 3B</x:v>
      </x:c>
      <x:c r="B6" s="43" t="str">
        <x:v>2</x:v>
      </x:c>
      <x:c r="C6" s="43" t="str">
        <x:v>Gateways</x:v>
      </x:c>
      <x:c r="D6" s="43" t="str">
        <x:v>Pi 3B with stable 5V supply</x:v>
      </x:c>
      <x:c r="E6" s="43" t="str">
        <x:v>Confirm</x:v>
      </x:c>
      <x:c r="F6" s="43" t="str">
        <x:v>High</x:v>
      </x:c>
      <x:c r="G6" s="43" t="str">
        <x:v>SPI wiring, CPU limits</x:v>
      </x:c>
      <x:c r="H6" s="43" t="str">
        <x:v>Python LoRa gateway receives packets</x:v>
      </x:c>
      <x:c r="I6" s="43" t="str">
        <x:v>Planned</x:v>
      </x:c>
      <x:c r="J6" s="43" t="str">
        <x:v>Use Lite OS if possible.</x:v>
      </x:c>
      <x:c r="K6" s="39"/>
      <x:c r="L6" s="39"/>
      <x:c r="M6" s="39"/>
      <x:c r="N6" s="39"/>
      <x:c r="O6" s="39"/>
      <x:c r="P6" s="39"/>
      <x:c r="Q6" s="39"/>
      <x:c r="R6" s="39"/>
      <x:c r="S6" s="39"/>
      <x:c r="T6" s="39"/>
      <x:c r="U6" s="39"/>
      <x:c r="V6" s="39"/>
      <x:c r="W6" s="39"/>
      <x:c r="X6" s="39"/>
      <x:c r="Y6" s="39"/>
      <x:c r="Z6" s="39"/>
    </x:row>
    <x:row r="7">
      <x:c r="A7" s="43" t="str">
        <x:v>WiFi Router 2.4 GHz</x:v>
      </x:c>
      <x:c r="B7" s="43" t="str">
        <x:v>2</x:v>
      </x:c>
      <x:c r="C7" s="43" t="str">
        <x:v>Satellite simulation</x:v>
      </x:c>
      <x:c r="D7" s="43" t="str">
        <x:v>Router that supports wireless bridge/repeater/client mode preferred</x:v>
      </x:c>
      <x:c r="E7" s="43" t="str">
        <x:v>Yes</x:v>
      </x:c>
      <x:c r="F7" s="43" t="str">
        <x:v>High</x:v>
      </x:c>
      <x:c r="G7" s="43" t="str">
        <x:v>May not bridge wirelessly</x:v>
      </x:c>
      <x:c r="H7" s="43" t="str">
        <x:v>Gateway ping test</x:v>
      </x:c>
      <x:c r="I7" s="43" t="str">
        <x:v>Planned</x:v>
      </x:c>
      <x:c r="J7" s="43" t="str">
        <x:v>If unsupported, use OpenWrt/travel router.</x:v>
      </x:c>
      <x:c r="K7" s="39"/>
      <x:c r="L7" s="39"/>
      <x:c r="M7" s="39"/>
      <x:c r="N7" s="39"/>
      <x:c r="O7" s="39"/>
      <x:c r="P7" s="39"/>
      <x:c r="Q7" s="39"/>
      <x:c r="R7" s="39"/>
      <x:c r="S7" s="39"/>
      <x:c r="T7" s="39"/>
      <x:c r="U7" s="39"/>
      <x:c r="V7" s="39"/>
      <x:c r="W7" s="39"/>
      <x:c r="X7" s="39"/>
      <x:c r="Y7" s="39"/>
      <x:c r="Z7" s="39"/>
    </x:row>
    <x:row r="8">
      <x:c r="A8" s="43" t="str">
        <x:v>Android Phone</x:v>
      </x:c>
      <x:c r="B8" s="43" t="str">
        <x:v>1+</x:v>
      </x:c>
      <x:c r="C8" s="43" t="str">
        <x:v>Chat app testing</x:v>
      </x:c>
      <x:c r="D8" s="43" t="str">
        <x:v>Android 8+ recommended</x:v>
      </x:c>
      <x:c r="E8" s="43" t="str">
        <x:v>Confirm</x:v>
      </x:c>
      <x:c r="F8" s="43" t="str">
        <x:v>Medium</x:v>
      </x:c>
      <x:c r="G8" s="43" t="str">
        <x:v>Network permissions/background limits</x:v>
      </x:c>
      <x:c r="H8" s="43" t="str">
        <x:v>Install APK, connect to gateway</x:v>
      </x:c>
      <x:c r="I8" s="43" t="str">
        <x:v>Future</x:v>
      </x:c>
      <x:c r="J8" s="43" t="str">
        <x:v>Start web dashboard first.</x:v>
      </x:c>
      <x:c r="K8" s="39"/>
      <x:c r="L8" s="39"/>
      <x:c r="M8" s="39"/>
      <x:c r="N8" s="39"/>
      <x:c r="O8" s="39"/>
      <x:c r="P8" s="39"/>
      <x:c r="Q8" s="39"/>
      <x:c r="R8" s="39"/>
      <x:c r="S8" s="39"/>
      <x:c r="T8" s="39"/>
      <x:c r="U8" s="39"/>
      <x:c r="V8" s="39"/>
      <x:c r="W8" s="39"/>
      <x:c r="X8" s="39"/>
      <x:c r="Y8" s="39"/>
      <x:c r="Z8" s="39"/>
    </x:row>
    <x:row r="9">
      <x:c r="A9" s="43" t="str">
        <x:v>Li-ion Battery Pack</x:v>
      </x:c>
      <x:c r="B9" s="43" t="str">
        <x:v>6</x:v>
      </x:c>
      <x:c r="C9" s="43" t="str">
        <x:v>Portable nodes</x:v>
      </x:c>
      <x:c r="D9" s="43" t="str">
        <x:v>3.7V/5V boost or regulated 5V</x:v>
      </x:c>
      <x:c r="E9" s="43" t="str">
        <x:v>Confirm</x:v>
      </x:c>
      <x:c r="F9" s="43" t="str">
        <x:v>Medium</x:v>
      </x:c>
      <x:c r="G9" s="43" t="str">
        <x:v>Voltage sag</x:v>
      </x:c>
      <x:c r="H9" s="43" t="str">
        <x:v>Runtime and battery reading test</x:v>
      </x:c>
      <x:c r="I9" s="43" t="str">
        <x:v>Future</x:v>
      </x:c>
      <x:c r="J9" s="43" t="str">
        <x:v>Simulation first.</x:v>
      </x:c>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J1"/>
  </x:mergeCells>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28" hidden="0" customWidth="1"/>
    <x:col min="3" max="3" width="24" hidden="0" customWidth="1"/>
    <x:col min="4" max="4" width="34" hidden="0" customWidth="1"/>
    <x:col min="5" max="5" width="14" hidden="0" customWidth="1"/>
    <x:col min="6" max="6" width="24" hidden="0" customWidth="1"/>
    <x:col min="7" max="7" width="14" hidden="0" customWidth="1"/>
    <x:col min="8" max="8" width="42" hidden="0" customWidth="1"/>
  </x:cols>
  <x:sheetData>
    <x:row r="1">
      <x:c r="A1" s="221" t="str">
        <x:v>Configuration Tracker</x:v>
      </x:c>
      <x:c r="B1" s="43"/>
      <x:c r="C1" s="43"/>
      <x:c r="D1" s="43"/>
      <x:c r="E1" s="43"/>
      <x:c r="F1" s="43"/>
      <x:c r="G1" s="43"/>
      <x:c r="H1" s="43"/>
      <x:c r="I1" s="43"/>
      <x:c r="J1" s="43"/>
      <x:c r="K1" s="43"/>
      <x:c r="L1" s="39"/>
      <x:c r="M1" s="39"/>
      <x:c r="N1" s="39"/>
      <x:c r="O1" s="39"/>
      <x:c r="P1" s="39"/>
      <x:c r="Q1" s="39"/>
      <x:c r="R1" s="39"/>
      <x:c r="S1" s="39"/>
      <x:c r="T1" s="39"/>
      <x:c r="U1" s="39"/>
      <x:c r="V1" s="39"/>
      <x:c r="W1" s="39"/>
      <x:c r="X1" s="39"/>
      <x:c r="Y1" s="39"/>
      <x:c r="Z1" s="39"/>
    </x:row>
    <x:row r="2">
      <x:c r="A2" s="43"/>
      <x:c r="B2" s="43"/>
      <x:c r="C2" s="43"/>
      <x:c r="D2" s="43"/>
      <x:c r="E2" s="43"/>
      <x:c r="F2" s="43"/>
      <x:c r="G2" s="43"/>
      <x:c r="H2" s="43"/>
      <x:c r="I2" s="43"/>
      <x:c r="J2" s="43"/>
      <x:c r="K2" s="43"/>
      <x:c r="L2" s="39"/>
      <x:c r="M2" s="39"/>
      <x:c r="N2" s="39"/>
      <x:c r="O2" s="39"/>
      <x:c r="P2" s="39"/>
      <x:c r="Q2" s="39"/>
      <x:c r="R2" s="39"/>
      <x:c r="S2" s="39"/>
      <x:c r="T2" s="39"/>
      <x:c r="U2" s="39"/>
      <x:c r="V2" s="39"/>
      <x:c r="W2" s="39"/>
      <x:c r="X2" s="39"/>
      <x:c r="Y2" s="39"/>
      <x:c r="Z2" s="39"/>
    </x:row>
    <x:row r="3">
      <x:c r="A3" s="42" t="str">
        <x:v>Parameter</x:v>
      </x:c>
      <x:c r="B3" s="42" t="str">
        <x:v>Default / Starting Value</x:v>
      </x:c>
      <x:c r="C3" s="42" t="str">
        <x:v>Where Used</x:v>
      </x:c>
      <x:c r="D3" s="42" t="str">
        <x:v>Reason</x:v>
      </x:c>
      <x:c r="E3" s="42" t="str">
        <x:v>Can Change?</x:v>
      </x:c>
      <x:c r="F3" s="42" t="str">
        <x:v>Updated Value</x:v>
      </x:c>
      <x:c r="G3" s="42" t="str">
        <x:v>Date Updated</x:v>
      </x:c>
      <x:c r="H3" s="42" t="str">
        <x:v>Notes</x:v>
      </x:c>
      <x:c r="I3" s="43"/>
      <x:c r="J3" s="43"/>
      <x:c r="K3" s="43"/>
      <x:c r="L3" s="39"/>
      <x:c r="M3" s="39"/>
      <x:c r="N3" s="39"/>
      <x:c r="O3" s="39"/>
      <x:c r="P3" s="39"/>
      <x:c r="Q3" s="39"/>
      <x:c r="R3" s="39"/>
      <x:c r="S3" s="39"/>
      <x:c r="T3" s="39"/>
      <x:c r="U3" s="39"/>
      <x:c r="V3" s="39"/>
      <x:c r="W3" s="39"/>
      <x:c r="X3" s="39"/>
      <x:c r="Y3" s="39"/>
      <x:c r="Z3" s="39"/>
    </x:row>
    <x:row r="4">
      <x:c r="A4" s="43" t="str">
        <x:v>LoRa Frequency</x:v>
      </x:c>
      <x:c r="B4" s="43" t="str">
        <x:v>433 MHz / PH_433-compatible prototype setting</x:v>
      </x:c>
      <x:c r="C4" s="43" t="str">
        <x:v>ESP32 + Pi LoRa</x:v>
      </x:c>
      <x:c r="D4" s="43" t="str">
        <x:v>Available SX1278 Ra-02 hardware</x:v>
      </x:c>
      <x:c r="E4" s="43" t="str">
        <x:v>Yes</x:v>
      </x:c>
      <x:c r="F4" s="43" t="str"/>
      <x:c r="G4" s="43" t="str"/>
      <x:c r="H4" s="43" t="str">
        <x:v>Verify compliance for non-lab use.</x:v>
      </x:c>
      <x:c r="I4" s="43"/>
      <x:c r="J4" s="43"/>
      <x:c r="K4" s="43"/>
      <x:c r="L4" s="39"/>
      <x:c r="M4" s="39"/>
      <x:c r="N4" s="39"/>
      <x:c r="O4" s="39"/>
      <x:c r="P4" s="39"/>
      <x:c r="Q4" s="39"/>
      <x:c r="R4" s="39"/>
      <x:c r="S4" s="39"/>
      <x:c r="T4" s="39"/>
      <x:c r="U4" s="39"/>
      <x:c r="V4" s="39"/>
      <x:c r="W4" s="39"/>
      <x:c r="X4" s="39"/>
      <x:c r="Y4" s="39"/>
      <x:c r="Z4" s="39"/>
    </x:row>
    <x:row r="5">
      <x:c r="A5" s="43" t="str">
        <x:v>LoRa TX Power</x:v>
      </x:c>
      <x:c r="B5" s="43" t="str">
        <x:v>Start low; do not maximize during lab tests</x:v>
      </x:c>
      <x:c r="C5" s="43" t="str">
        <x:v>ESP32 + Pi LoRa</x:v>
      </x:c>
      <x:c r="D5" s="43" t="str">
        <x:v>Reduce interference and stay conservative</x:v>
      </x:c>
      <x:c r="E5" s="43" t="str">
        <x:v>Yes</x:v>
      </x:c>
      <x:c r="F5" s="43" t="str"/>
      <x:c r="G5" s="43" t="str"/>
      <x:c r="H5" s="43" t="str">
        <x:v>Document exact dBm after firmware phase.</x:v>
      </x:c>
      <x:c r="I5" s="43"/>
      <x:c r="J5" s="43"/>
      <x:c r="K5" s="43"/>
      <x:c r="L5" s="39"/>
      <x:c r="M5" s="39"/>
      <x:c r="N5" s="39"/>
      <x:c r="O5" s="39"/>
      <x:c r="P5" s="39"/>
      <x:c r="Q5" s="39"/>
      <x:c r="R5" s="39"/>
      <x:c r="S5" s="39"/>
      <x:c r="T5" s="39"/>
      <x:c r="U5" s="39"/>
      <x:c r="V5" s="39"/>
      <x:c r="W5" s="39"/>
      <x:c r="X5" s="39"/>
      <x:c r="Y5" s="39"/>
      <x:c r="Z5" s="39"/>
    </x:row>
    <x:row r="6">
      <x:c r="A6" s="43" t="str">
        <x:v>RSSI Degradation Threshold</x:v>
      </x:c>
      <x:c r="B6" s="43" t="str">
        <x:v>-78 dBm</x:v>
      </x:c>
      <x:c r="C6" s="43" t="str">
        <x:v>Routing/failover</x:v>
      </x:c>
      <x:c r="D6" s="43" t="str">
        <x:v>From project document; conservative quality threshold</x:v>
      </x:c>
      <x:c r="E6" s="43" t="str">
        <x:v>Yes</x:v>
      </x:c>
      <x:c r="F6" s="43" t="str"/>
      <x:c r="G6" s="43" t="str"/>
      <x:c r="H6" s="43" t="str">
        <x:v>Not hard LoRa failure threshold.</x:v>
      </x:c>
      <x:c r="I6" s="43"/>
      <x:c r="J6" s="43"/>
      <x:c r="K6" s="43"/>
      <x:c r="L6" s="39"/>
      <x:c r="M6" s="39"/>
      <x:c r="N6" s="39"/>
      <x:c r="O6" s="39"/>
      <x:c r="P6" s="39"/>
      <x:c r="Q6" s="39"/>
      <x:c r="R6" s="39"/>
      <x:c r="S6" s="39"/>
      <x:c r="T6" s="39"/>
      <x:c r="U6" s="39"/>
      <x:c r="V6" s="39"/>
      <x:c r="W6" s="39"/>
      <x:c r="X6" s="39"/>
      <x:c r="Y6" s="39"/>
      <x:c r="Z6" s="39"/>
    </x:row>
    <x:row r="7">
      <x:c r="A7" s="43" t="str">
        <x:v>RSSI Critical Threshold</x:v>
      </x:c>
      <x:c r="B7" s="43" t="str">
        <x:v>-95 dBm</x:v>
      </x:c>
      <x:c r="C7" s="43" t="str">
        <x:v>Routing/failover</x:v>
      </x:c>
      <x:c r="D7" s="43" t="str">
        <x:v>More realistic LoRa degradation marker</x:v>
      </x:c>
      <x:c r="E7" s="43" t="str">
        <x:v>Yes</x:v>
      </x:c>
      <x:c r="F7" s="43" t="str"/>
      <x:c r="G7" s="43" t="str"/>
      <x:c r="H7" s="43" t="str">
        <x:v>Tune after field tests.</x:v>
      </x:c>
      <x:c r="I7" s="43"/>
      <x:c r="J7" s="43"/>
      <x:c r="K7" s="43"/>
      <x:c r="L7" s="39"/>
      <x:c r="M7" s="39"/>
      <x:c r="N7" s="39"/>
      <x:c r="O7" s="39"/>
      <x:c r="P7" s="39"/>
      <x:c r="Q7" s="39"/>
      <x:c r="R7" s="39"/>
      <x:c r="S7" s="39"/>
      <x:c r="T7" s="39"/>
      <x:c r="U7" s="39"/>
      <x:c r="V7" s="39"/>
      <x:c r="W7" s="39"/>
      <x:c r="X7" s="39"/>
      <x:c r="Y7" s="39"/>
      <x:c r="Z7" s="39"/>
    </x:row>
    <x:row r="8">
      <x:c r="A8" s="43" t="str">
        <x:v>Failover Delay</x:v>
      </x:c>
      <x:c r="B8" s="43" t="str">
        <x:v>10 seconds</x:v>
      </x:c>
      <x:c r="C8" s="43" t="str">
        <x:v>Gateway logic</x:v>
      </x:c>
      <x:c r="D8" s="43" t="str">
        <x:v>From project document</x:v>
      </x:c>
      <x:c r="E8" s="43" t="str">
        <x:v>Yes</x:v>
      </x:c>
      <x:c r="F8" s="43" t="str"/>
      <x:c r="G8" s="43" t="str"/>
      <x:c r="H8" s="43" t="str">
        <x:v>Trigger after stable failure condition.</x:v>
      </x:c>
      <x:c r="I8" s="43"/>
      <x:c r="J8" s="43"/>
      <x:c r="K8" s="43"/>
      <x:c r="L8" s="39"/>
      <x:c r="M8" s="39"/>
      <x:c r="N8" s="39"/>
      <x:c r="O8" s="39"/>
      <x:c r="P8" s="39"/>
      <x:c r="Q8" s="39"/>
      <x:c r="R8" s="39"/>
      <x:c r="S8" s="39"/>
      <x:c r="T8" s="39"/>
      <x:c r="U8" s="39"/>
      <x:c r="V8" s="39"/>
      <x:c r="W8" s="39"/>
      <x:c r="X8" s="39"/>
      <x:c r="Y8" s="39"/>
      <x:c r="Z8" s="39"/>
    </x:row>
    <x:row r="9">
      <x:c r="A9" s="43" t="str">
        <x:v>Recovery Stable Time</x:v>
      </x:c>
      <x:c r="B9" s="43" t="str">
        <x:v>10 seconds</x:v>
      </x:c>
      <x:c r="C9" s="43" t="str">
        <x:v>Gateway logic</x:v>
      </x:c>
      <x:c r="D9" s="43" t="str">
        <x:v>Avoid flapping</x:v>
      </x:c>
      <x:c r="E9" s="43" t="str">
        <x:v>Yes</x:v>
      </x:c>
      <x:c r="F9" s="43" t="str"/>
      <x:c r="G9" s="43" t="str"/>
      <x:c r="H9" s="43" t="str">
        <x:v>Revert only after stable link.</x:v>
      </x:c>
      <x:c r="I9" s="43"/>
      <x:c r="J9" s="43"/>
      <x:c r="K9" s="43"/>
      <x:c r="L9" s="39"/>
      <x:c r="M9" s="39"/>
      <x:c r="N9" s="39"/>
      <x:c r="O9" s="39"/>
      <x:c r="P9" s="39"/>
      <x:c r="Q9" s="39"/>
      <x:c r="R9" s="39"/>
      <x:c r="S9" s="39"/>
      <x:c r="T9" s="39"/>
      <x:c r="U9" s="39"/>
      <x:c r="V9" s="39"/>
      <x:c r="W9" s="39"/>
      <x:c r="X9" s="39"/>
      <x:c r="Y9" s="39"/>
      <x:c r="Z9" s="39"/>
    </x:row>
    <x:row r="10">
      <x:c r="A10" s="43" t="str">
        <x:v>Satellite Sim Latency</x:v>
      </x:c>
      <x:c r="B10" s="43" t="str">
        <x:v>500-700 ms</x:v>
      </x:c>
      <x:c r="C10" s="43" t="str">
        <x:v>Pi tc/netem</x:v>
      </x:c>
      <x:c r="D10" s="43" t="str">
        <x:v>Project target</x:v>
      </x:c>
      <x:c r="E10" s="43" t="str">
        <x:v>Yes</x:v>
      </x:c>
      <x:c r="F10" s="43" t="str"/>
      <x:c r="G10" s="43" t="str"/>
      <x:c r="H10" s="43" t="str">
        <x:v>Apply on gateway interface.</x:v>
      </x:c>
      <x:c r="I10" s="43"/>
      <x:c r="J10" s="43"/>
      <x:c r="K10" s="43"/>
      <x:c r="L10" s="39"/>
      <x:c r="M10" s="39"/>
      <x:c r="N10" s="39"/>
      <x:c r="O10" s="39"/>
      <x:c r="P10" s="39"/>
      <x:c r="Q10" s="39"/>
      <x:c r="R10" s="39"/>
      <x:c r="S10" s="39"/>
      <x:c r="T10" s="39"/>
      <x:c r="U10" s="39"/>
      <x:c r="V10" s="39"/>
      <x:c r="W10" s="39"/>
      <x:c r="X10" s="39"/>
      <x:c r="Y10" s="39"/>
      <x:c r="Z10" s="39"/>
    </x:row>
    <x:row r="11">
      <x:c r="A11" s="43" t="str">
        <x:v>Max Hop Count</x:v>
      </x:c>
      <x:c r="B11" s="43" t="str">
        <x:v>3</x:v>
      </x:c>
      <x:c r="C11" s="43" t="str">
        <x:v>ESP32 mesh</x:v>
      </x:c>
      <x:c r="D11" s="43" t="str">
        <x:v>Small six-node prototype</x:v>
      </x:c>
      <x:c r="E11" s="43" t="str">
        <x:v>Yes</x:v>
      </x:c>
      <x:c r="F11" s="43" t="str"/>
      <x:c r="G11" s="43" t="str"/>
      <x:c r="H11" s="43" t="str">
        <x:v>Increase only after testing.</x:v>
      </x:c>
      <x:c r="I11" s="43"/>
      <x:c r="J11" s="43"/>
      <x:c r="K11" s="43"/>
      <x:c r="L11" s="39"/>
      <x:c r="M11" s="39"/>
      <x:c r="N11" s="39"/>
      <x:c r="O11" s="39"/>
      <x:c r="P11" s="39"/>
      <x:c r="Q11" s="39"/>
      <x:c r="R11" s="39"/>
      <x:c r="S11" s="39"/>
      <x:c r="T11" s="39"/>
      <x:c r="U11" s="39"/>
      <x:c r="V11" s="39"/>
      <x:c r="W11" s="39"/>
      <x:c r="X11" s="39"/>
      <x:c r="Y11" s="39"/>
      <x:c r="Z11" s="39"/>
    </x:row>
    <x:row r="12">
      <x:c r="A12" s="43" t="str">
        <x:v>ACK Retry Count</x:v>
      </x:c>
      <x:c r="B12" s="43" t="str">
        <x:v>3</x:v>
      </x:c>
      <x:c r="C12" s="43" t="str">
        <x:v>Messaging protocol</x:v>
      </x:c>
      <x:c r="D12" s="43" t="str">
        <x:v>Reliability vs airtime balance</x:v>
      </x:c>
      <x:c r="E12" s="43" t="str">
        <x:v>Yes</x:v>
      </x:c>
      <x:c r="F12" s="43" t="str"/>
      <x:c r="G12" s="43" t="str"/>
      <x:c r="H12" s="43" t="str">
        <x:v>Tune after PDR tests.</x:v>
      </x:c>
      <x:c r="I12" s="43"/>
      <x:c r="J12" s="43"/>
      <x:c r="K12" s="43"/>
      <x:c r="L12" s="39"/>
      <x:c r="M12" s="39"/>
      <x:c r="N12" s="39"/>
      <x:c r="O12" s="39"/>
      <x:c r="P12" s="39"/>
      <x:c r="Q12" s="39"/>
      <x:c r="R12" s="39"/>
      <x:c r="S12" s="39"/>
      <x:c r="T12" s="39"/>
      <x:c r="U12" s="39"/>
      <x:c r="V12" s="39"/>
      <x:c r="W12" s="39"/>
      <x:c r="X12" s="39"/>
      <x:c r="Y12" s="39"/>
      <x:c r="Z12" s="39"/>
    </x:row>
    <x:row r="13">
      <x:c r="A13" s="43" t="str">
        <x:v>Destination Not Local Rule</x:v>
      </x:c>
      <x:c r="B13" s="43" t="str">
        <x:v>Route to next network via gateway</x:v>
      </x:c>
      <x:c r="C13" s="43" t="str">
        <x:v>Gateway logic</x:v>
      </x:c>
      <x:c r="D13" s="43" t="str">
        <x:v>User requirement</x:v>
      </x:c>
      <x:c r="E13" s="43" t="str">
        <x:v>No</x:v>
      </x:c>
      <x:c r="F13" s="43" t="str"/>
      <x:c r="G13" s="43" t="str"/>
      <x:c r="H13" s="43" t="str">
        <x:v>If destination unknown locally, forward to remote gateway.</x:v>
      </x:c>
      <x:c r="I13" s="43"/>
      <x:c r="J13" s="43"/>
      <x:c r="K13" s="43"/>
      <x:c r="L13" s="39"/>
      <x:c r="M13" s="39"/>
      <x:c r="N13" s="39"/>
      <x:c r="O13" s="39"/>
      <x:c r="P13" s="39"/>
      <x:c r="Q13" s="39"/>
      <x:c r="R13" s="39"/>
      <x:c r="S13" s="39"/>
      <x:c r="T13" s="39"/>
      <x:c r="U13" s="39"/>
      <x:c r="V13" s="39"/>
      <x:c r="W13" s="39"/>
      <x:c r="X13" s="39"/>
      <x:c r="Y13" s="39"/>
      <x:c r="Z13" s="39"/>
    </x:row>
    <x:row r="14">
      <x:c r="A14" s="43"/>
      <x:c r="B14" s="43"/>
      <x:c r="C14" s="43"/>
      <x:c r="D14" s="43"/>
      <x:c r="E14" s="43"/>
      <x:c r="F14" s="43"/>
      <x:c r="G14" s="43"/>
      <x:c r="H14" s="43"/>
      <x:c r="I14" s="43"/>
      <x:c r="J14" s="43"/>
      <x:c r="K14" s="43"/>
      <x:c r="L14" s="39"/>
      <x:c r="M14" s="39"/>
      <x:c r="N14" s="39"/>
      <x:c r="O14" s="39"/>
      <x:c r="P14" s="39"/>
      <x:c r="Q14" s="39"/>
      <x:c r="R14" s="39"/>
      <x:c r="S14" s="39"/>
      <x:c r="T14" s="39"/>
      <x:c r="U14" s="39"/>
      <x:c r="V14" s="39"/>
      <x:c r="W14" s="39"/>
      <x:c r="X14" s="39"/>
      <x:c r="Y14" s="39"/>
      <x:c r="Z14" s="39"/>
    </x:row>
    <x:row r="15">
      <x:c r="A15" s="207" t="str">
        <x:v>Codex/GitHub Configuration Tracker</x:v>
      </x:c>
      <x:c r="B15" s="207" t="str"/>
      <x:c r="C15" s="207" t="str"/>
      <x:c r="D15" s="207" t="str"/>
      <x:c r="E15" s="207" t="str"/>
      <x:c r="F15" s="207" t="str"/>
      <x:c r="G15" s="207" t="str"/>
      <x:c r="H15" s="207" t="str"/>
      <x:c r="I15" s="43"/>
      <x:c r="J15" s="43"/>
      <x:c r="K15" s="43"/>
      <x:c r="L15" s="39"/>
      <x:c r="M15" s="39"/>
      <x:c r="N15" s="39"/>
      <x:c r="O15" s="39"/>
      <x:c r="P15" s="39"/>
      <x:c r="Q15" s="39"/>
      <x:c r="R15" s="39"/>
      <x:c r="S15" s="39"/>
      <x:c r="T15" s="39"/>
      <x:c r="U15" s="39"/>
      <x:c r="V15" s="39"/>
      <x:c r="W15" s="39"/>
      <x:c r="X15" s="39"/>
      <x:c r="Y15" s="39"/>
      <x:c r="Z15" s="39"/>
    </x:row>
    <x:row r="16">
      <x:c r="A16" s="204" t="str">
        <x:v>Item</x:v>
      </x:c>
      <x:c r="B16" s="204" t="str">
        <x:v>Recommended Value</x:v>
      </x:c>
      <x:c r="C16" s="204" t="str">
        <x:v>Actual Value</x:v>
      </x:c>
      <x:c r="D16" s="204" t="str">
        <x:v>Where Set</x:v>
      </x:c>
      <x:c r="E16" s="204" t="str">
        <x:v>Owner</x:v>
      </x:c>
      <x:c r="F16" s="204" t="str">
        <x:v>Status</x:v>
      </x:c>
      <x:c r="G16" s="204" t="str">
        <x:v>Evidence</x:v>
      </x:c>
      <x:c r="H16" s="204" t="str">
        <x:v>Notes</x:v>
      </x:c>
      <x:c r="I16" s="43"/>
      <x:c r="J16" s="43"/>
      <x:c r="K16" s="43"/>
      <x:c r="L16" s="39"/>
      <x:c r="M16" s="39"/>
      <x:c r="N16" s="39"/>
      <x:c r="O16" s="39"/>
      <x:c r="P16" s="39"/>
      <x:c r="Q16" s="39"/>
      <x:c r="R16" s="39"/>
      <x:c r="S16" s="39"/>
      <x:c r="T16" s="39"/>
      <x:c r="U16" s="39"/>
      <x:c r="V16" s="39"/>
      <x:c r="W16" s="39"/>
      <x:c r="X16" s="39"/>
      <x:c r="Y16" s="39"/>
      <x:c r="Z16" s="39"/>
    </x:row>
    <x:row r="17">
      <x:c r="A17" s="43" t="str">
        <x:v>GitHub Repository</x:v>
      </x:c>
      <x:c r="B17" s="43" t="str">
        <x:v>pup-manet-emergency-messaging</x:v>
      </x:c>
      <x:c r="C17" s="43" t="str"/>
      <x:c r="D17" s="43" t="str">
        <x:v>GitHub</x:v>
      </x:c>
      <x:c r="E17" s="43" t="str">
        <x:v>User</x:v>
      </x:c>
      <x:c r="F17" s="43" t="str">
        <x:v>Not Started</x:v>
      </x:c>
      <x:c r="G17" s="43" t="str">
        <x:v>Repo URL</x:v>
      </x:c>
      <x:c r="H17" s="43" t="str"/>
      <x:c r="I17" s="43"/>
      <x:c r="J17" s="43"/>
      <x:c r="K17" s="43"/>
      <x:c r="L17" s="39"/>
      <x:c r="M17" s="39"/>
      <x:c r="N17" s="39"/>
      <x:c r="O17" s="39"/>
      <x:c r="P17" s="39"/>
      <x:c r="Q17" s="39"/>
      <x:c r="R17" s="39"/>
      <x:c r="S17" s="39"/>
      <x:c r="T17" s="39"/>
      <x:c r="U17" s="39"/>
      <x:c r="V17" s="39"/>
      <x:c r="W17" s="39"/>
      <x:c r="X17" s="39"/>
      <x:c r="Y17" s="39"/>
      <x:c r="Z17" s="39"/>
    </x:row>
    <x:row r="18">
      <x:c r="A18" s="43" t="str">
        <x:v>Local Repo Path</x:v>
      </x:c>
      <x:c r="B18" s="43" t="str">
        <x:v>MacBook Pro local project folder</x:v>
      </x:c>
      <x:c r="C18" s="43" t="str"/>
      <x:c r="D18" s="43" t="str">
        <x:v>Mac Finder/Terminal</x:v>
      </x:c>
      <x:c r="E18" s="43" t="str">
        <x:v>User</x:v>
      </x:c>
      <x:c r="F18" s="43" t="str">
        <x:v>Not Started</x:v>
      </x:c>
      <x:c r="G18" s="43" t="str">
        <x:v>pwd output</x:v>
      </x:c>
      <x:c r="H18" s="43" t="str"/>
      <x:c r="I18" s="43"/>
      <x:c r="J18" s="43"/>
      <x:c r="K18" s="43"/>
      <x:c r="L18" s="39"/>
      <x:c r="M18" s="39"/>
      <x:c r="N18" s="39"/>
      <x:c r="O18" s="39"/>
      <x:c r="P18" s="39"/>
      <x:c r="Q18" s="39"/>
      <x:c r="R18" s="39"/>
      <x:c r="S18" s="39"/>
      <x:c r="T18" s="39"/>
      <x:c r="U18" s="39"/>
      <x:c r="V18" s="39"/>
      <x:c r="W18" s="39"/>
      <x:c r="X18" s="39"/>
      <x:c r="Y18" s="39"/>
      <x:c r="Z18" s="39"/>
    </x:row>
    <x:row r="19">
      <x:c r="A19" s="43" t="str">
        <x:v>Codex Local Tool</x:v>
      </x:c>
      <x:c r="B19" s="43" t="str">
        <x:v>Installed on MacBook Pro M1 Max</x:v>
      </x:c>
      <x:c r="C19" s="43" t="str">
        <x:v>Installed</x:v>
      </x:c>
      <x:c r="D19" s="43" t="str">
        <x:v>Mac terminal</x:v>
      </x:c>
      <x:c r="E19" s="43" t="str">
        <x:v>User</x:v>
      </x:c>
      <x:c r="F19" s="43" t="str">
        <x:v>Available</x:v>
      </x:c>
      <x:c r="G19" s="43" t="str">
        <x:v>codex --version output</x:v>
      </x:c>
      <x:c r="H19" s="43" t="str">
        <x:v>User confirmed installed.</x:v>
      </x:c>
      <x:c r="I19" s="43"/>
      <x:c r="J19" s="43"/>
      <x:c r="K19" s="43"/>
      <x:c r="L19" s="39"/>
      <x:c r="M19" s="39"/>
      <x:c r="N19" s="39"/>
      <x:c r="O19" s="39"/>
      <x:c r="P19" s="39"/>
      <x:c r="Q19" s="39"/>
      <x:c r="R19" s="39"/>
      <x:c r="S19" s="39"/>
      <x:c r="T19" s="39"/>
      <x:c r="U19" s="39"/>
      <x:c r="V19" s="39"/>
      <x:c r="W19" s="39"/>
      <x:c r="X19" s="39"/>
      <x:c r="Y19" s="39"/>
      <x:c r="Z19" s="39"/>
    </x:row>
    <x:row r="20">
      <x:c r="A20" s="43" t="str">
        <x:v>Codex Cloud/GitHub</x:v>
      </x:c>
      <x:c r="B20" s="43" t="str">
        <x:v>Connect repo to Codex when ready</x:v>
      </x:c>
      <x:c r="C20" s="43" t="str"/>
      <x:c r="D20" s="43" t="str">
        <x:v>Codex settings</x:v>
      </x:c>
      <x:c r="E20" s="43" t="str">
        <x:v>User</x:v>
      </x:c>
      <x:c r="F20" s="43" t="str">
        <x:v>Not Started</x:v>
      </x:c>
      <x:c r="G20" s="43" t="str">
        <x:v>Codex environment screenshot/link</x:v>
      </x:c>
      <x:c r="H20" s="43" t="str"/>
      <x:c r="I20" s="43"/>
      <x:c r="J20" s="43"/>
      <x:c r="K20" s="43"/>
      <x:c r="L20" s="39"/>
      <x:c r="M20" s="39"/>
      <x:c r="N20" s="39"/>
      <x:c r="O20" s="39"/>
      <x:c r="P20" s="39"/>
      <x:c r="Q20" s="39"/>
      <x:c r="R20" s="39"/>
      <x:c r="S20" s="39"/>
      <x:c r="T20" s="39"/>
      <x:c r="U20" s="39"/>
      <x:c r="V20" s="39"/>
      <x:c r="W20" s="39"/>
      <x:c r="X20" s="39"/>
      <x:c r="Y20" s="39"/>
      <x:c r="Z20" s="39"/>
    </x:row>
    <x:row r="21">
      <x:c r="A21" s="43" t="str">
        <x:v>AGENTS.md</x:v>
      </x:c>
      <x:c r="B21" s="43" t="str">
        <x:v>Root-level project instructions file</x:v>
      </x:c>
      <x:c r="C21" s="43" t="str"/>
      <x:c r="D21" s="43" t="str">
        <x:v>Repo root</x:v>
      </x:c>
      <x:c r="E21" s="43" t="str">
        <x:v>Codex/User</x:v>
      </x:c>
      <x:c r="F21" s="43" t="str">
        <x:v>Not Started</x:v>
      </x:c>
      <x:c r="G21" s="43" t="str">
        <x:v>Commit hash</x:v>
      </x:c>
      <x:c r="H21" s="43" t="str"/>
      <x:c r="I21" s="43"/>
      <x:c r="J21" s="43"/>
      <x:c r="K21" s="43"/>
      <x:c r="L21" s="39"/>
      <x:c r="M21" s="39"/>
      <x:c r="N21" s="39"/>
      <x:c r="O21" s="39"/>
      <x:c r="P21" s="39"/>
      <x:c r="Q21" s="39"/>
      <x:c r="R21" s="39"/>
      <x:c r="S21" s="39"/>
      <x:c r="T21" s="39"/>
      <x:c r="U21" s="39"/>
      <x:c r="V21" s="39"/>
      <x:c r="W21" s="39"/>
      <x:c r="X21" s="39"/>
      <x:c r="Y21" s="39"/>
      <x:c r="Z21" s="39"/>
    </x:row>
    <x:row r="22">
      <x:c r="A22" s="43" t="str">
        <x:v>Default Branch</x:v>
      </x:c>
      <x:c r="B22" s="43" t="str">
        <x:v>main</x:v>
      </x:c>
      <x:c r="C22" s="43" t="str"/>
      <x:c r="D22" s="43" t="str">
        <x:v>GitHub</x:v>
      </x:c>
      <x:c r="E22" s="43" t="str">
        <x:v>User</x:v>
      </x:c>
      <x:c r="F22" s="43" t="str">
        <x:v>Not Started</x:v>
      </x:c>
      <x:c r="G22" s="43" t="str">
        <x:v>GitHub screenshot</x:v>
      </x:c>
      <x:c r="H22" s="43" t="str"/>
      <x:c r="I22" s="43"/>
      <x:c r="J22" s="43"/>
      <x:c r="K22" s="43"/>
      <x:c r="L22" s="39"/>
      <x:c r="M22" s="39"/>
      <x:c r="N22" s="39"/>
      <x:c r="O22" s="39"/>
      <x:c r="P22" s="39"/>
      <x:c r="Q22" s="39"/>
      <x:c r="R22" s="39"/>
      <x:c r="S22" s="39"/>
      <x:c r="T22" s="39"/>
      <x:c r="U22" s="39"/>
      <x:c r="V22" s="39"/>
      <x:c r="W22" s="39"/>
      <x:c r="X22" s="39"/>
      <x:c r="Y22" s="39"/>
      <x:c r="Z22" s="39"/>
    </x:row>
    <x:row r="23">
      <x:c r="A23" s="43" t="str">
        <x:v>Workbook Location</x:v>
      </x:c>
      <x:c r="B23" s="43" t="str">
        <x:v>docs/workbook/PUP_MANET_Implementation_Workbook.xlsx</x:v>
      </x:c>
      <x:c r="C23" s="43" t="str"/>
      <x:c r="D23" s="43" t="str">
        <x:v>GitHub repo</x:v>
      </x:c>
      <x:c r="E23" s="43" t="str">
        <x:v>User</x:v>
      </x:c>
      <x:c r="F23" s="43" t="str">
        <x:v>Not Started</x:v>
      </x:c>
      <x:c r="G23" s="43" t="str">
        <x:v>Commit hash</x:v>
      </x:c>
      <x:c r="H23" s="43" t="str"/>
      <x:c r="I23" s="43"/>
      <x:c r="J23" s="43"/>
      <x:c r="K23" s="43"/>
      <x:c r="L23" s="39"/>
      <x:c r="M23" s="39"/>
      <x:c r="N23" s="39"/>
      <x:c r="O23" s="39"/>
      <x:c r="P23" s="39"/>
      <x:c r="Q23" s="39"/>
      <x:c r="R23" s="39"/>
      <x:c r="S23" s="39"/>
      <x:c r="T23" s="39"/>
      <x:c r="U23" s="39"/>
      <x:c r="V23" s="39"/>
      <x:c r="W23" s="39"/>
      <x:c r="X23" s="39"/>
      <x:c r="Y23" s="39"/>
      <x:c r="Z23" s="39"/>
    </x:row>
    <x:row r="24">
      <x:c r="A24" s="43" t="str">
        <x:v>Diagrams Location</x:v>
      </x:c>
      <x:c r="B24" s="43" t="str">
        <x:v>docs/diagrams/</x:v>
      </x:c>
      <x:c r="C24" s="43" t="str"/>
      <x:c r="D24" s="43" t="str">
        <x:v>GitHub repo</x:v>
      </x:c>
      <x:c r="E24" s="43" t="str">
        <x:v>User</x:v>
      </x:c>
      <x:c r="F24" s="43" t="str">
        <x:v>Not Started</x:v>
      </x:c>
      <x:c r="G24" s="43" t="str">
        <x:v>Commit hash</x:v>
      </x:c>
      <x:c r="H24" s="43" t="str"/>
      <x:c r="I24" s="43"/>
      <x:c r="J24" s="43"/>
      <x:c r="K24" s="43"/>
      <x:c r="L24" s="39"/>
      <x:c r="M24" s="39"/>
      <x:c r="N24" s="39"/>
      <x:c r="O24" s="39"/>
      <x:c r="P24" s="39"/>
      <x:c r="Q24" s="39"/>
      <x:c r="R24" s="39"/>
      <x:c r="S24" s="39"/>
      <x:c r="T24" s="39"/>
      <x:c r="U24" s="39"/>
      <x:c r="V24" s="39"/>
      <x:c r="W24" s="39"/>
      <x:c r="X24" s="39"/>
      <x:c r="Y24" s="39"/>
      <x:c r="Z24" s="39"/>
    </x:row>
    <x:row r="25">
      <x:c r="A25" s="43"/>
      <x:c r="B25" s="43"/>
      <x:c r="C25" s="43"/>
      <x:c r="D25" s="43"/>
      <x:c r="E25" s="43"/>
      <x:c r="F25" s="43"/>
      <x:c r="G25" s="43"/>
      <x:c r="H25" s="43"/>
      <x:c r="I25" s="43"/>
      <x:c r="J25" s="43"/>
      <x:c r="K25" s="43"/>
      <x:c r="L25" s="39"/>
      <x:c r="M25" s="39"/>
      <x:c r="N25" s="39"/>
      <x:c r="O25" s="39"/>
      <x:c r="P25" s="39"/>
      <x:c r="Q25" s="39"/>
      <x:c r="R25" s="39"/>
      <x:c r="S25" s="39"/>
      <x:c r="T25" s="39"/>
      <x:c r="U25" s="39"/>
      <x:c r="V25" s="39"/>
      <x:c r="W25" s="39"/>
      <x:c r="X25" s="39"/>
      <x:c r="Y25" s="39"/>
      <x:c r="Z25" s="39"/>
    </x:row>
    <x:row r="26">
      <x:c r="A26" s="43"/>
      <x:c r="B26" s="43"/>
      <x:c r="C26" s="43"/>
      <x:c r="D26" s="43"/>
      <x:c r="E26" s="43"/>
      <x:c r="F26" s="43"/>
      <x:c r="G26" s="43"/>
      <x:c r="H26" s="43"/>
      <x:c r="I26" s="43"/>
      <x:c r="J26" s="43"/>
      <x:c r="K26" s="43"/>
      <x:c r="L26" s="39"/>
      <x:c r="M26" s="39"/>
      <x:c r="N26" s="39"/>
      <x:c r="O26" s="39"/>
      <x:c r="P26" s="39"/>
      <x:c r="Q26" s="39"/>
      <x:c r="R26" s="39"/>
      <x:c r="S26" s="39"/>
      <x:c r="T26" s="39"/>
      <x:c r="U26" s="39"/>
      <x:c r="V26" s="39"/>
      <x:c r="W26" s="39"/>
      <x:c r="X26" s="39"/>
      <x:c r="Y26" s="39"/>
      <x:c r="Z26" s="39"/>
    </x:row>
    <x:row r="27">
      <x:c r="A27" s="43"/>
      <x:c r="B27" s="43"/>
      <x:c r="C27" s="43"/>
      <x:c r="D27" s="43"/>
      <x:c r="E27" s="43"/>
      <x:c r="F27" s="43"/>
      <x:c r="G27" s="43"/>
      <x:c r="H27" s="43"/>
      <x:c r="I27" s="43"/>
      <x:c r="J27" s="43"/>
      <x:c r="K27" s="43"/>
      <x:c r="L27" s="39"/>
      <x:c r="M27" s="39"/>
      <x:c r="N27" s="39"/>
      <x:c r="O27" s="39"/>
      <x:c r="P27" s="39"/>
      <x:c r="Q27" s="39"/>
      <x:c r="R27" s="39"/>
      <x:c r="S27" s="39"/>
      <x:c r="T27" s="39"/>
      <x:c r="U27" s="39"/>
      <x:c r="V27" s="39"/>
      <x:c r="W27" s="39"/>
      <x:c r="X27" s="39"/>
      <x:c r="Y27" s="39"/>
      <x:c r="Z27" s="39"/>
    </x:row>
    <x:row r="28">
      <x:c r="A28" s="43"/>
      <x:c r="B28" s="43"/>
      <x:c r="C28" s="43"/>
      <x:c r="D28" s="43"/>
      <x:c r="E28" s="43"/>
      <x:c r="F28" s="43"/>
      <x:c r="G28" s="43"/>
      <x:c r="H28" s="43"/>
      <x:c r="I28" s="43"/>
      <x:c r="J28" s="43"/>
      <x:c r="K28" s="43"/>
      <x:c r="L28" s="39"/>
      <x:c r="M28" s="39"/>
      <x:c r="N28" s="39"/>
      <x:c r="O28" s="39"/>
      <x:c r="P28" s="39"/>
      <x:c r="Q28" s="39"/>
      <x:c r="R28" s="39"/>
      <x:c r="S28" s="39"/>
      <x:c r="T28" s="39"/>
      <x:c r="U28" s="39"/>
      <x:c r="V28" s="39"/>
      <x:c r="W28" s="39"/>
      <x:c r="X28" s="39"/>
      <x:c r="Y28" s="39"/>
      <x:c r="Z28" s="39"/>
    </x:row>
    <x:row r="29">
      <x:c r="A29" s="43"/>
      <x:c r="B29" s="43"/>
      <x:c r="C29" s="43"/>
      <x:c r="D29" s="43"/>
      <x:c r="E29" s="43"/>
      <x:c r="F29" s="43"/>
      <x:c r="G29" s="43"/>
      <x:c r="H29" s="43"/>
      <x:c r="I29" s="43"/>
      <x:c r="J29" s="43"/>
      <x:c r="K29" s="43"/>
      <x:c r="L29" s="39"/>
      <x:c r="M29" s="39"/>
      <x:c r="N29" s="39"/>
      <x:c r="O29" s="39"/>
      <x:c r="P29" s="39"/>
      <x:c r="Q29" s="39"/>
      <x:c r="R29" s="39"/>
      <x:c r="S29" s="39"/>
      <x:c r="T29" s="39"/>
      <x:c r="U29" s="39"/>
      <x:c r="V29" s="39"/>
      <x:c r="W29" s="39"/>
      <x:c r="X29" s="39"/>
      <x:c r="Y29" s="39"/>
      <x:c r="Z29" s="39"/>
    </x:row>
    <x:row r="30">
      <x:c r="A30" s="43"/>
      <x:c r="B30" s="43"/>
      <x:c r="C30" s="43"/>
      <x:c r="D30" s="43"/>
      <x:c r="E30" s="43"/>
      <x:c r="F30" s="43"/>
      <x:c r="G30" s="43"/>
      <x:c r="H30" s="43"/>
      <x:c r="I30" s="43"/>
      <x:c r="J30" s="43"/>
      <x:c r="K30" s="43"/>
      <x:c r="L30" s="39"/>
      <x:c r="M30" s="39"/>
      <x:c r="N30" s="39"/>
      <x:c r="O30" s="39"/>
      <x:c r="P30" s="39"/>
      <x:c r="Q30" s="39"/>
      <x:c r="R30" s="39"/>
      <x:c r="S30" s="39"/>
      <x:c r="T30" s="39"/>
      <x:c r="U30" s="39"/>
      <x:c r="V30" s="39"/>
      <x:c r="W30" s="39"/>
      <x:c r="X30" s="39"/>
      <x:c r="Y30" s="39"/>
      <x:c r="Z30" s="39"/>
    </x:row>
    <x:row r="31">
      <x:c r="A31" s="43"/>
      <x:c r="B31" s="43"/>
      <x:c r="C31" s="43"/>
      <x:c r="D31" s="43"/>
      <x:c r="E31" s="43"/>
      <x:c r="F31" s="43"/>
      <x:c r="G31" s="43"/>
      <x:c r="H31" s="43"/>
      <x:c r="I31" s="43"/>
      <x:c r="J31" s="43"/>
      <x:c r="K31" s="43"/>
      <x:c r="L31" s="39"/>
      <x:c r="M31" s="39"/>
      <x:c r="N31" s="39"/>
      <x:c r="O31" s="39"/>
      <x:c r="P31" s="39"/>
      <x:c r="Q31" s="39"/>
      <x:c r="R31" s="39"/>
      <x:c r="S31" s="39"/>
      <x:c r="T31" s="39"/>
      <x:c r="U31" s="39"/>
      <x:c r="V31" s="39"/>
      <x:c r="W31" s="39"/>
      <x:c r="X31" s="39"/>
      <x:c r="Y31" s="39"/>
      <x:c r="Z31" s="39"/>
    </x:row>
    <x:row r="32">
      <x:c r="A32" s="43"/>
      <x:c r="B32" s="43"/>
      <x:c r="C32" s="43"/>
      <x:c r="D32" s="43"/>
      <x:c r="E32" s="43"/>
      <x:c r="F32" s="43"/>
      <x:c r="G32" s="43"/>
      <x:c r="H32" s="43"/>
      <x:c r="I32" s="43"/>
      <x:c r="J32" s="43"/>
      <x:c r="K32" s="43"/>
      <x:c r="L32" s="39"/>
      <x:c r="M32" s="39"/>
      <x:c r="N32" s="39"/>
      <x:c r="O32" s="39"/>
      <x:c r="P32" s="39"/>
      <x:c r="Q32" s="39"/>
      <x:c r="R32" s="39"/>
      <x:c r="S32" s="39"/>
      <x:c r="T32" s="39"/>
      <x:c r="U32" s="39"/>
      <x:c r="V32" s="39"/>
      <x:c r="W32" s="39"/>
      <x:c r="X32" s="39"/>
      <x:c r="Y32" s="39"/>
      <x:c r="Z32" s="39"/>
    </x:row>
    <x:row r="33">
      <x:c r="A33" s="43"/>
      <x:c r="B33" s="43"/>
      <x:c r="C33" s="43"/>
      <x:c r="D33" s="43"/>
      <x:c r="E33" s="43"/>
      <x:c r="F33" s="43"/>
      <x:c r="G33" s="43"/>
      <x:c r="H33" s="43"/>
      <x:c r="I33" s="43"/>
      <x:c r="J33" s="43"/>
      <x:c r="K33" s="43"/>
      <x:c r="L33" s="39"/>
      <x:c r="M33" s="39"/>
      <x:c r="N33" s="39"/>
      <x:c r="O33" s="39"/>
      <x:c r="P33" s="39"/>
      <x:c r="Q33" s="39"/>
      <x:c r="R33" s="39"/>
      <x:c r="S33" s="39"/>
      <x:c r="T33" s="39"/>
      <x:c r="U33" s="39"/>
      <x:c r="V33" s="39"/>
      <x:c r="W33" s="39"/>
      <x:c r="X33" s="39"/>
      <x:c r="Y33" s="39"/>
      <x:c r="Z33" s="39"/>
    </x:row>
    <x:row r="34">
      <x:c r="A34" s="43"/>
      <x:c r="B34" s="43"/>
      <x:c r="C34" s="43"/>
      <x:c r="D34" s="43"/>
      <x:c r="E34" s="43"/>
      <x:c r="F34" s="43"/>
      <x:c r="G34" s="43"/>
      <x:c r="H34" s="43"/>
      <x:c r="I34" s="43"/>
      <x:c r="J34" s="43"/>
      <x:c r="K34" s="43"/>
      <x:c r="L34" s="39"/>
      <x:c r="M34" s="39"/>
      <x:c r="N34" s="39"/>
      <x:c r="O34" s="39"/>
      <x:c r="P34" s="39"/>
      <x:c r="Q34" s="39"/>
      <x:c r="R34" s="39"/>
      <x:c r="S34" s="39"/>
      <x:c r="T34" s="39"/>
      <x:c r="U34" s="39"/>
      <x:c r="V34" s="39"/>
      <x:c r="W34" s="39"/>
      <x:c r="X34" s="39"/>
      <x:c r="Y34" s="39"/>
      <x:c r="Z34" s="39"/>
    </x:row>
    <x:row r="35">
      <x:c r="A35" s="43"/>
      <x:c r="B35" s="43"/>
      <x:c r="C35" s="43"/>
      <x:c r="D35" s="43"/>
      <x:c r="E35" s="43"/>
      <x:c r="F35" s="43"/>
      <x:c r="G35" s="43"/>
      <x:c r="H35" s="43"/>
      <x:c r="I35" s="43"/>
      <x:c r="J35" s="43"/>
      <x:c r="K35" s="43"/>
      <x:c r="L35" s="39"/>
      <x:c r="M35" s="39"/>
      <x:c r="N35" s="39"/>
      <x:c r="O35" s="39"/>
      <x:c r="P35" s="39"/>
      <x:c r="Q35" s="39"/>
      <x:c r="R35" s="39"/>
      <x:c r="S35" s="39"/>
      <x:c r="T35" s="39"/>
      <x:c r="U35" s="39"/>
      <x:c r="V35" s="39"/>
      <x:c r="W35" s="39"/>
      <x:c r="X35" s="39"/>
      <x:c r="Y35" s="39"/>
      <x:c r="Z35" s="39"/>
    </x:row>
    <x:row r="36">
      <x:c r="A36" s="43"/>
      <x:c r="B36" s="43"/>
      <x:c r="C36" s="43"/>
      <x:c r="D36" s="43"/>
      <x:c r="E36" s="43"/>
      <x:c r="F36" s="43"/>
      <x:c r="G36" s="43"/>
      <x:c r="H36" s="43"/>
      <x:c r="I36" s="43"/>
      <x:c r="J36" s="43"/>
      <x:c r="K36" s="43"/>
      <x:c r="L36" s="39"/>
      <x:c r="M36" s="39"/>
      <x:c r="N36" s="39"/>
      <x:c r="O36" s="39"/>
      <x:c r="P36" s="39"/>
      <x:c r="Q36" s="39"/>
      <x:c r="R36" s="39"/>
      <x:c r="S36" s="39"/>
      <x:c r="T36" s="39"/>
      <x:c r="U36" s="39"/>
      <x:c r="V36" s="39"/>
      <x:c r="W36" s="39"/>
      <x:c r="X36" s="39"/>
      <x:c r="Y36" s="39"/>
      <x:c r="Z36" s="39"/>
    </x:row>
    <x:row r="37">
      <x:c r="A37" s="43"/>
      <x:c r="B37" s="43"/>
      <x:c r="C37" s="43"/>
      <x:c r="D37" s="43"/>
      <x:c r="E37" s="43"/>
      <x:c r="F37" s="43"/>
      <x:c r="G37" s="43"/>
      <x:c r="H37" s="43"/>
      <x:c r="I37" s="43"/>
      <x:c r="J37" s="43"/>
      <x:c r="K37" s="43"/>
      <x:c r="L37" s="39"/>
      <x:c r="M37" s="39"/>
      <x:c r="N37" s="39"/>
      <x:c r="O37" s="39"/>
      <x:c r="P37" s="39"/>
      <x:c r="Q37" s="39"/>
      <x:c r="R37" s="39"/>
      <x:c r="S37" s="39"/>
      <x:c r="T37" s="39"/>
      <x:c r="U37" s="39"/>
      <x:c r="V37" s="39"/>
      <x:c r="W37" s="39"/>
      <x:c r="X37" s="39"/>
      <x:c r="Y37" s="39"/>
      <x:c r="Z37" s="39"/>
    </x:row>
    <x:row r="38">
      <x:c r="A38" s="43"/>
      <x:c r="B38" s="43"/>
      <x:c r="C38" s="43"/>
      <x:c r="D38" s="43"/>
      <x:c r="E38" s="43"/>
      <x:c r="F38" s="43"/>
      <x:c r="G38" s="43"/>
      <x:c r="H38" s="43"/>
      <x:c r="I38" s="43"/>
      <x:c r="J38" s="43"/>
      <x:c r="K38" s="43"/>
      <x:c r="L38" s="39"/>
      <x:c r="M38" s="39"/>
      <x:c r="N38" s="39"/>
      <x:c r="O38" s="39"/>
      <x:c r="P38" s="39"/>
      <x:c r="Q38" s="39"/>
      <x:c r="R38" s="39"/>
      <x:c r="S38" s="39"/>
      <x:c r="T38" s="39"/>
      <x:c r="U38" s="39"/>
      <x:c r="V38" s="39"/>
      <x:c r="W38" s="39"/>
      <x:c r="X38" s="39"/>
      <x:c r="Y38" s="39"/>
      <x:c r="Z38" s="39"/>
    </x:row>
    <x:row r="39">
      <x:c r="A39" s="43"/>
      <x:c r="B39" s="43"/>
      <x:c r="C39" s="43"/>
      <x:c r="D39" s="43"/>
      <x:c r="E39" s="43"/>
      <x:c r="F39" s="43"/>
      <x:c r="G39" s="43"/>
      <x:c r="H39" s="43"/>
      <x:c r="I39" s="43"/>
      <x:c r="J39" s="43"/>
      <x:c r="K39" s="43"/>
      <x:c r="L39" s="39"/>
      <x:c r="M39" s="39"/>
      <x:c r="N39" s="39"/>
      <x:c r="O39" s="39"/>
      <x:c r="P39" s="39"/>
      <x:c r="Q39" s="39"/>
      <x:c r="R39" s="39"/>
      <x:c r="S39" s="39"/>
      <x:c r="T39" s="39"/>
      <x:c r="U39" s="39"/>
      <x:c r="V39" s="39"/>
      <x:c r="W39" s="39"/>
      <x:c r="X39" s="39"/>
      <x:c r="Y39" s="39"/>
      <x:c r="Z39" s="39"/>
    </x:row>
    <x:row r="40">
      <x:c r="A40" s="43"/>
      <x:c r="B40" s="43"/>
      <x:c r="C40" s="43"/>
      <x:c r="D40" s="43"/>
      <x:c r="E40" s="43"/>
      <x:c r="F40" s="43"/>
      <x:c r="G40" s="43"/>
      <x:c r="H40" s="43"/>
      <x:c r="I40" s="43"/>
      <x:c r="J40" s="43"/>
      <x:c r="K40" s="43"/>
      <x:c r="L40" s="39"/>
      <x:c r="M40" s="39"/>
      <x:c r="N40" s="39"/>
      <x:c r="O40" s="39"/>
      <x:c r="P40" s="39"/>
      <x:c r="Q40" s="39"/>
      <x:c r="R40" s="39"/>
      <x:c r="S40" s="39"/>
      <x:c r="T40" s="39"/>
      <x:c r="U40" s="39"/>
      <x:c r="V40" s="39"/>
      <x:c r="W40" s="39"/>
      <x:c r="X40" s="39"/>
      <x:c r="Y40" s="39"/>
      <x:c r="Z40" s="39"/>
    </x:row>
    <x:row r="41">
      <x:c r="A41" s="43"/>
      <x:c r="B41" s="43"/>
      <x:c r="C41" s="43"/>
      <x:c r="D41" s="43"/>
      <x:c r="E41" s="43"/>
      <x:c r="F41" s="43"/>
      <x:c r="G41" s="43"/>
      <x:c r="H41" s="43"/>
      <x:c r="I41" s="43"/>
      <x:c r="J41" s="43"/>
      <x:c r="K41" s="43"/>
      <x:c r="L41" s="39"/>
      <x:c r="M41" s="39"/>
      <x:c r="N41" s="39"/>
      <x:c r="O41" s="39"/>
      <x:c r="P41" s="39"/>
      <x:c r="Q41" s="39"/>
      <x:c r="R41" s="39"/>
      <x:c r="S41" s="39"/>
      <x:c r="T41" s="39"/>
      <x:c r="U41" s="39"/>
      <x:c r="V41" s="39"/>
      <x:c r="W41" s="39"/>
      <x:c r="X41" s="39"/>
      <x:c r="Y41" s="39"/>
      <x:c r="Z41" s="39"/>
    </x:row>
    <x:row r="42">
      <x:c r="A42" s="43"/>
      <x:c r="B42" s="43"/>
      <x:c r="C42" s="43"/>
      <x:c r="D42" s="43"/>
      <x:c r="E42" s="43"/>
      <x:c r="F42" s="43"/>
      <x:c r="G42" s="43"/>
      <x:c r="H42" s="43"/>
      <x:c r="I42" s="43"/>
      <x:c r="J42" s="43"/>
      <x:c r="K42" s="43"/>
      <x:c r="L42" s="39"/>
      <x:c r="M42" s="39"/>
      <x:c r="N42" s="39"/>
      <x:c r="O42" s="39"/>
      <x:c r="P42" s="39"/>
      <x:c r="Q42" s="39"/>
      <x:c r="R42" s="39"/>
      <x:c r="S42" s="39"/>
      <x:c r="T42" s="39"/>
      <x:c r="U42" s="39"/>
      <x:c r="V42" s="39"/>
      <x:c r="W42" s="39"/>
      <x:c r="X42" s="39"/>
      <x:c r="Y42" s="39"/>
      <x:c r="Z42" s="39"/>
    </x:row>
    <x:row r="43">
      <x:c r="A43" s="43"/>
      <x:c r="B43" s="43"/>
      <x:c r="C43" s="43"/>
      <x:c r="D43" s="43"/>
      <x:c r="E43" s="43"/>
      <x:c r="F43" s="43"/>
      <x:c r="G43" s="43"/>
      <x:c r="H43" s="43"/>
      <x:c r="I43" s="43"/>
      <x:c r="J43" s="43"/>
      <x:c r="K43" s="43"/>
      <x:c r="L43" s="39"/>
      <x:c r="M43" s="39"/>
      <x:c r="N43" s="39"/>
      <x:c r="O43" s="39"/>
      <x:c r="P43" s="39"/>
      <x:c r="Q43" s="39"/>
      <x:c r="R43" s="39"/>
      <x:c r="S43" s="39"/>
      <x:c r="T43" s="39"/>
      <x:c r="U43" s="39"/>
      <x:c r="V43" s="39"/>
      <x:c r="W43" s="39"/>
      <x:c r="X43" s="39"/>
      <x:c r="Y43" s="39"/>
      <x:c r="Z43" s="39"/>
    </x:row>
    <x:row r="44">
      <x:c r="A44" s="43"/>
      <x:c r="B44" s="43"/>
      <x:c r="C44" s="43"/>
      <x:c r="D44" s="43"/>
      <x:c r="E44" s="43"/>
      <x:c r="F44" s="43"/>
      <x:c r="G44" s="43"/>
      <x:c r="H44" s="43"/>
      <x:c r="I44" s="43"/>
      <x:c r="J44" s="43"/>
      <x:c r="K44" s="43"/>
      <x:c r="L44" s="39"/>
      <x:c r="M44" s="39"/>
      <x:c r="N44" s="39"/>
      <x:c r="O44" s="39"/>
      <x:c r="P44" s="39"/>
      <x:c r="Q44" s="39"/>
      <x:c r="R44" s="39"/>
      <x:c r="S44" s="39"/>
      <x:c r="T44" s="39"/>
      <x:c r="U44" s="39"/>
      <x:c r="V44" s="39"/>
      <x:c r="W44" s="39"/>
      <x:c r="X44" s="39"/>
      <x:c r="Y44" s="39"/>
      <x:c r="Z44" s="39"/>
    </x:row>
    <x:row r="45">
      <x:c r="A45" s="43"/>
      <x:c r="B45" s="43"/>
      <x:c r="C45" s="43"/>
      <x:c r="D45" s="43"/>
      <x:c r="E45" s="43"/>
      <x:c r="F45" s="43"/>
      <x:c r="G45" s="43"/>
      <x:c r="H45" s="43"/>
      <x:c r="I45" s="43"/>
      <x:c r="J45" s="43"/>
      <x:c r="K45" s="43"/>
      <x:c r="L45" s="39"/>
      <x:c r="M45" s="39"/>
      <x:c r="N45" s="39"/>
      <x:c r="O45" s="39"/>
      <x:c r="P45" s="39"/>
      <x:c r="Q45" s="39"/>
      <x:c r="R45" s="39"/>
      <x:c r="S45" s="39"/>
      <x:c r="T45" s="39"/>
      <x:c r="U45" s="39"/>
      <x:c r="V45" s="39"/>
      <x:c r="W45" s="39"/>
      <x:c r="X45" s="39"/>
      <x:c r="Y45" s="39"/>
      <x:c r="Z45" s="39"/>
    </x:row>
    <x:row r="46">
      <x:c r="A46" s="43"/>
      <x:c r="B46" s="43"/>
      <x:c r="C46" s="43"/>
      <x:c r="D46" s="43"/>
      <x:c r="E46" s="43"/>
      <x:c r="F46" s="43"/>
      <x:c r="G46" s="43"/>
      <x:c r="H46" s="43"/>
      <x:c r="I46" s="43"/>
      <x:c r="J46" s="43"/>
      <x:c r="K46" s="43"/>
      <x:c r="L46" s="39"/>
      <x:c r="M46" s="39"/>
      <x:c r="N46" s="39"/>
      <x:c r="O46" s="39"/>
      <x:c r="P46" s="39"/>
      <x:c r="Q46" s="39"/>
      <x:c r="R46" s="39"/>
      <x:c r="S46" s="39"/>
      <x:c r="T46" s="39"/>
      <x:c r="U46" s="39"/>
      <x:c r="V46" s="39"/>
      <x:c r="W46" s="39"/>
      <x:c r="X46" s="39"/>
      <x:c r="Y46" s="39"/>
      <x:c r="Z46" s="39"/>
    </x:row>
    <x:row r="47">
      <x:c r="A47" s="43"/>
      <x:c r="B47" s="43"/>
      <x:c r="C47" s="43"/>
      <x:c r="D47" s="43"/>
      <x:c r="E47" s="43"/>
      <x:c r="F47" s="43"/>
      <x:c r="G47" s="43"/>
      <x:c r="H47" s="43"/>
      <x:c r="I47" s="43"/>
      <x:c r="J47" s="43"/>
      <x:c r="K47" s="43"/>
      <x:c r="L47" s="39"/>
      <x:c r="M47" s="39"/>
      <x:c r="N47" s="39"/>
      <x:c r="O47" s="39"/>
      <x:c r="P47" s="39"/>
      <x:c r="Q47" s="39"/>
      <x:c r="R47" s="39"/>
      <x:c r="S47" s="39"/>
      <x:c r="T47" s="39"/>
      <x:c r="U47" s="39"/>
      <x:c r="V47" s="39"/>
      <x:c r="W47" s="39"/>
      <x:c r="X47" s="39"/>
      <x:c r="Y47" s="39"/>
      <x:c r="Z47" s="39"/>
    </x:row>
    <x:row r="48">
      <x:c r="A48" s="43"/>
      <x:c r="B48" s="43"/>
      <x:c r="C48" s="43"/>
      <x:c r="D48" s="43"/>
      <x:c r="E48" s="43"/>
      <x:c r="F48" s="43"/>
      <x:c r="G48" s="43"/>
      <x:c r="H48" s="43"/>
      <x:c r="I48" s="43"/>
      <x:c r="J48" s="43"/>
      <x:c r="K48" s="43"/>
      <x:c r="L48" s="39"/>
      <x:c r="M48" s="39"/>
      <x:c r="N48" s="39"/>
      <x:c r="O48" s="39"/>
      <x:c r="P48" s="39"/>
      <x:c r="Q48" s="39"/>
      <x:c r="R48" s="39"/>
      <x:c r="S48" s="39"/>
      <x:c r="T48" s="39"/>
      <x:c r="U48" s="39"/>
      <x:c r="V48" s="39"/>
      <x:c r="W48" s="39"/>
      <x:c r="X48" s="39"/>
      <x:c r="Y48" s="39"/>
      <x:c r="Z48" s="39"/>
    </x:row>
    <x:row r="49">
      <x:c r="A49" s="43"/>
      <x:c r="B49" s="43"/>
      <x:c r="C49" s="43"/>
      <x:c r="D49" s="43"/>
      <x:c r="E49" s="43"/>
      <x:c r="F49" s="43"/>
      <x:c r="G49" s="43"/>
      <x:c r="H49" s="43"/>
      <x:c r="I49" s="43"/>
      <x:c r="J49" s="43"/>
      <x:c r="K49" s="43"/>
      <x:c r="L49" s="39"/>
      <x:c r="M49" s="39"/>
      <x:c r="N49" s="39"/>
      <x:c r="O49" s="39"/>
      <x:c r="P49" s="39"/>
      <x:c r="Q49" s="39"/>
      <x:c r="R49" s="39"/>
      <x:c r="S49" s="39"/>
      <x:c r="T49" s="39"/>
      <x:c r="U49" s="39"/>
      <x:c r="V49" s="39"/>
      <x:c r="W49" s="39"/>
      <x:c r="X49" s="39"/>
      <x:c r="Y49" s="39"/>
      <x:c r="Z49" s="39"/>
    </x:row>
    <x:row r="50">
      <x:c r="A50" s="43"/>
      <x:c r="B50" s="43"/>
      <x:c r="C50" s="43"/>
      <x:c r="D50" s="43"/>
      <x:c r="E50" s="43"/>
      <x:c r="F50" s="43"/>
      <x:c r="G50" s="43"/>
      <x:c r="H50" s="43"/>
      <x:c r="I50" s="43"/>
      <x:c r="J50" s="43"/>
      <x:c r="K50" s="43"/>
      <x:c r="L50" s="39"/>
      <x:c r="M50" s="39"/>
      <x:c r="N50" s="39"/>
      <x:c r="O50" s="39"/>
      <x:c r="P50" s="39"/>
      <x:c r="Q50" s="39"/>
      <x:c r="R50" s="39"/>
      <x:c r="S50" s="39"/>
      <x:c r="T50" s="39"/>
      <x:c r="U50" s="39"/>
      <x:c r="V50" s="39"/>
      <x:c r="W50" s="39"/>
      <x:c r="X50" s="39"/>
      <x:c r="Y50" s="39"/>
      <x:c r="Z50" s="39"/>
    </x:row>
    <x:row r="51">
      <x:c r="A51" s="43"/>
      <x:c r="B51" s="43"/>
      <x:c r="C51" s="43"/>
      <x:c r="D51" s="43"/>
      <x:c r="E51" s="43"/>
      <x:c r="F51" s="43"/>
      <x:c r="G51" s="43"/>
      <x:c r="H51" s="43"/>
      <x:c r="I51" s="43"/>
      <x:c r="J51" s="43"/>
      <x:c r="K51" s="43"/>
      <x:c r="L51" s="39"/>
      <x:c r="M51" s="39"/>
      <x:c r="N51" s="39"/>
      <x:c r="O51" s="39"/>
      <x:c r="P51" s="39"/>
      <x:c r="Q51" s="39"/>
      <x:c r="R51" s="39"/>
      <x:c r="S51" s="39"/>
      <x:c r="T51" s="39"/>
      <x:c r="U51" s="39"/>
      <x:c r="V51" s="39"/>
      <x:c r="W51" s="39"/>
      <x:c r="X51" s="39"/>
      <x:c r="Y51" s="39"/>
      <x:c r="Z51" s="39"/>
    </x:row>
    <x:row r="52">
      <x:c r="A52" s="43"/>
      <x:c r="B52" s="43"/>
      <x:c r="C52" s="43"/>
      <x:c r="D52" s="43"/>
      <x:c r="E52" s="43"/>
      <x:c r="F52" s="43"/>
      <x:c r="G52" s="43"/>
      <x:c r="H52" s="43"/>
      <x:c r="I52" s="43"/>
      <x:c r="J52" s="43"/>
      <x:c r="K52" s="43"/>
      <x:c r="L52" s="39"/>
      <x:c r="M52" s="39"/>
      <x:c r="N52" s="39"/>
      <x:c r="O52" s="39"/>
      <x:c r="P52" s="39"/>
      <x:c r="Q52" s="39"/>
      <x:c r="R52" s="39"/>
      <x:c r="S52" s="39"/>
      <x:c r="T52" s="39"/>
      <x:c r="U52" s="39"/>
      <x:c r="V52" s="39"/>
      <x:c r="W52" s="39"/>
      <x:c r="X52" s="39"/>
      <x:c r="Y52" s="39"/>
      <x:c r="Z52" s="39"/>
    </x:row>
    <x:row r="53">
      <x:c r="A53" s="43"/>
      <x:c r="B53" s="43"/>
      <x:c r="C53" s="43"/>
      <x:c r="D53" s="43"/>
      <x:c r="E53" s="43"/>
      <x:c r="F53" s="43"/>
      <x:c r="G53" s="43"/>
      <x:c r="H53" s="43"/>
      <x:c r="I53" s="43"/>
      <x:c r="J53" s="43"/>
      <x:c r="K53" s="43"/>
      <x:c r="L53" s="39"/>
      <x:c r="M53" s="39"/>
      <x:c r="N53" s="39"/>
      <x:c r="O53" s="39"/>
      <x:c r="P53" s="39"/>
      <x:c r="Q53" s="39"/>
      <x:c r="R53" s="39"/>
      <x:c r="S53" s="39"/>
      <x:c r="T53" s="39"/>
      <x:c r="U53" s="39"/>
      <x:c r="V53" s="39"/>
      <x:c r="W53" s="39"/>
      <x:c r="X53" s="39"/>
      <x:c r="Y53" s="39"/>
      <x:c r="Z53" s="39"/>
    </x:row>
    <x:row r="54">
      <x:c r="A54" s="43"/>
      <x:c r="B54" s="43"/>
      <x:c r="C54" s="43"/>
      <x:c r="D54" s="43"/>
      <x:c r="E54" s="43"/>
      <x:c r="F54" s="43"/>
      <x:c r="G54" s="43"/>
      <x:c r="H54" s="43"/>
      <x:c r="I54" s="43"/>
      <x:c r="J54" s="43"/>
      <x:c r="K54" s="43"/>
      <x:c r="L54" s="39"/>
      <x:c r="M54" s="39"/>
      <x:c r="N54" s="39"/>
      <x:c r="O54" s="39"/>
      <x:c r="P54" s="39"/>
      <x:c r="Q54" s="39"/>
      <x:c r="R54" s="39"/>
      <x:c r="S54" s="39"/>
      <x:c r="T54" s="39"/>
      <x:c r="U54" s="39"/>
      <x:c r="V54" s="39"/>
      <x:c r="W54" s="39"/>
      <x:c r="X54" s="39"/>
      <x:c r="Y54" s="39"/>
      <x:c r="Z54" s="39"/>
    </x:row>
    <x:row r="55">
      <x:c r="A55" s="43"/>
      <x:c r="B55" s="43"/>
      <x:c r="C55" s="43"/>
      <x:c r="D55" s="43"/>
      <x:c r="E55" s="43"/>
      <x:c r="F55" s="43"/>
      <x:c r="G55" s="43"/>
      <x:c r="H55" s="43"/>
      <x:c r="I55" s="43"/>
      <x:c r="J55" s="43"/>
      <x:c r="K55" s="43"/>
      <x:c r="L55" s="39"/>
      <x:c r="M55" s="39"/>
      <x:c r="N55" s="39"/>
      <x:c r="O55" s="39"/>
      <x:c r="P55" s="39"/>
      <x:c r="Q55" s="39"/>
      <x:c r="R55" s="39"/>
      <x:c r="S55" s="39"/>
      <x:c r="T55" s="39"/>
      <x:c r="U55" s="39"/>
      <x:c r="V55" s="39"/>
      <x:c r="W55" s="39"/>
      <x:c r="X55" s="39"/>
      <x:c r="Y55" s="39"/>
      <x:c r="Z55" s="39"/>
    </x:row>
    <x:row r="56">
      <x:c r="A56" s="43"/>
      <x:c r="B56" s="43"/>
      <x:c r="C56" s="43"/>
      <x:c r="D56" s="43"/>
      <x:c r="E56" s="43"/>
      <x:c r="F56" s="43"/>
      <x:c r="G56" s="43"/>
      <x:c r="H56" s="43"/>
      <x:c r="I56" s="43"/>
      <x:c r="J56" s="43"/>
      <x:c r="K56" s="43"/>
      <x:c r="L56" s="39"/>
      <x:c r="M56" s="39"/>
      <x:c r="N56" s="39"/>
      <x:c r="O56" s="39"/>
      <x:c r="P56" s="39"/>
      <x:c r="Q56" s="39"/>
      <x:c r="R56" s="39"/>
      <x:c r="S56" s="39"/>
      <x:c r="T56" s="39"/>
      <x:c r="U56" s="39"/>
      <x:c r="V56" s="39"/>
      <x:c r="W56" s="39"/>
      <x:c r="X56" s="39"/>
      <x:c r="Y56" s="39"/>
      <x:c r="Z56" s="39"/>
    </x:row>
    <x:row r="57">
      <x:c r="A57" s="43"/>
      <x:c r="B57" s="43"/>
      <x:c r="C57" s="43"/>
      <x:c r="D57" s="43"/>
      <x:c r="E57" s="43"/>
      <x:c r="F57" s="43"/>
      <x:c r="G57" s="43"/>
      <x:c r="H57" s="43"/>
      <x:c r="I57" s="43"/>
      <x:c r="J57" s="43"/>
      <x:c r="K57" s="43"/>
      <x:c r="L57" s="39"/>
      <x:c r="M57" s="39"/>
      <x:c r="N57" s="39"/>
      <x:c r="O57" s="39"/>
      <x:c r="P57" s="39"/>
      <x:c r="Q57" s="39"/>
      <x:c r="R57" s="39"/>
      <x:c r="S57" s="39"/>
      <x:c r="T57" s="39"/>
      <x:c r="U57" s="39"/>
      <x:c r="V57" s="39"/>
      <x:c r="W57" s="39"/>
      <x:c r="X57" s="39"/>
      <x:c r="Y57" s="39"/>
      <x:c r="Z57" s="39"/>
    </x:row>
    <x:row r="58">
      <x:c r="A58" s="43"/>
      <x:c r="B58" s="43"/>
      <x:c r="C58" s="43"/>
      <x:c r="D58" s="43"/>
      <x:c r="E58" s="43"/>
      <x:c r="F58" s="43"/>
      <x:c r="G58" s="43"/>
      <x:c r="H58" s="43"/>
      <x:c r="I58" s="43"/>
      <x:c r="J58" s="43"/>
      <x:c r="K58" s="43"/>
      <x:c r="L58" s="39"/>
      <x:c r="M58" s="39"/>
      <x:c r="N58" s="39"/>
      <x:c r="O58" s="39"/>
      <x:c r="P58" s="39"/>
      <x:c r="Q58" s="39"/>
      <x:c r="R58" s="39"/>
      <x:c r="S58" s="39"/>
      <x:c r="T58" s="39"/>
      <x:c r="U58" s="39"/>
      <x:c r="V58" s="39"/>
      <x:c r="W58" s="39"/>
      <x:c r="X58" s="39"/>
      <x:c r="Y58" s="39"/>
      <x:c r="Z58" s="39"/>
    </x:row>
    <x:row r="59">
      <x:c r="A59" s="43"/>
      <x:c r="B59" s="43"/>
      <x:c r="C59" s="43"/>
      <x:c r="D59" s="43"/>
      <x:c r="E59" s="43"/>
      <x:c r="F59" s="43"/>
      <x:c r="G59" s="43"/>
      <x:c r="H59" s="43"/>
      <x:c r="I59" s="43"/>
      <x:c r="J59" s="43"/>
      <x:c r="K59" s="43"/>
      <x:c r="L59" s="39"/>
      <x:c r="M59" s="39"/>
      <x:c r="N59" s="39"/>
      <x:c r="O59" s="39"/>
      <x:c r="P59" s="39"/>
      <x:c r="Q59" s="39"/>
      <x:c r="R59" s="39"/>
      <x:c r="S59" s="39"/>
      <x:c r="T59" s="39"/>
      <x:c r="U59" s="39"/>
      <x:c r="V59" s="39"/>
      <x:c r="W59" s="39"/>
      <x:c r="X59" s="39"/>
      <x:c r="Y59" s="39"/>
      <x:c r="Z59" s="39"/>
    </x:row>
    <x:row r="60">
      <x:c r="A60" s="43"/>
      <x:c r="B60" s="43"/>
      <x:c r="C60" s="43"/>
      <x:c r="D60" s="43"/>
      <x:c r="E60" s="43"/>
      <x:c r="F60" s="43"/>
      <x:c r="G60" s="43"/>
      <x:c r="H60" s="43"/>
      <x:c r="I60" s="43"/>
      <x:c r="J60" s="43"/>
      <x:c r="K60" s="43"/>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 ref="A15:H15"/>
  </x:mergeCells>
  <x:dataValidations count="1">
    <x:dataValidation type="list" sqref="F17:F24">
      <x:formula1>"Not Started,In Progress,Blocked,Completed,Skipped,Planned,Available"</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50" hidden="0" customWidth="1"/>
    <x:col min="3" max="3" width="32" hidden="0" customWidth="1"/>
    <x:col min="4" max="4" width="14" hidden="0" customWidth="1"/>
    <x:col min="5" max="5" width="12" hidden="0" customWidth="1"/>
    <x:col min="6" max="6" width="35" hidden="0" customWidth="1"/>
    <x:col min="7" max="7" width="32" hidden="0" customWidth="1"/>
    <x:col min="8" max="8" width="32" hidden="0" customWidth="1"/>
  </x:cols>
  <x:sheetData>
    <x:row r="1">
      <x:c r="A1" s="38" t="str">
        <x:v>Proposed Packet Protocol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42" t="str">
        <x:v>Packet Type</x:v>
      </x:c>
      <x:c r="B3" s="42" t="str">
        <x:v>Required Fields</x:v>
      </x:c>
      <x:c r="C3" s="42" t="str">
        <x:v>Purpose</x:v>
      </x:c>
      <x:c r="D3" s="42" t="str">
        <x:v>ACK Required?</x:v>
      </x:c>
      <x:c r="E3" s="42" t="str">
        <x:v>Stored?</x:v>
      </x:c>
      <x:c r="F3" s="42" t="str">
        <x:v>Example</x:v>
      </x:c>
      <x:c r="G3" s="42" t="str">
        <x:v>ESP32 Role</x:v>
      </x:c>
      <x:c r="H3" s="42" t="str">
        <x:v>Gateway Role</x:v>
      </x:c>
      <x:c r="I3" s="39"/>
      <x:c r="J3" s="39"/>
      <x:c r="K3" s="39"/>
      <x:c r="L3" s="39"/>
      <x:c r="M3" s="39"/>
      <x:c r="N3" s="39"/>
      <x:c r="O3" s="39"/>
      <x:c r="P3" s="39"/>
      <x:c r="Q3" s="39"/>
      <x:c r="R3" s="39"/>
      <x:c r="S3" s="39"/>
      <x:c r="T3" s="39"/>
      <x:c r="U3" s="39"/>
      <x:c r="V3" s="39"/>
      <x:c r="W3" s="39"/>
      <x:c r="X3" s="39"/>
      <x:c r="Y3" s="39"/>
      <x:c r="Z3" s="39"/>
    </x:row>
    <x:row r="4">
      <x:c r="A4" s="43" t="str">
        <x:v>HELLO</x:v>
      </x:c>
      <x:c r="B4" s="43" t="str">
        <x:v>type,node_id,network_id,battery,rssi_last,snr_last,uptime</x:v>
      </x:c>
      <x:c r="C4" s="43" t="str">
        <x:v>Neighbor discovery and health</x:v>
      </x:c>
      <x:c r="D4" s="43" t="str">
        <x:v>No</x:v>
      </x:c>
      <x:c r="E4" s="43" t="str">
        <x:v>Latest only</x:v>
      </x:c>
      <x:c r="F4" s="43" t="str">
        <x:v>HELLO A1 NET_A batt=82</x:v>
      </x:c>
      <x:c r="G4" s="43" t="str">
        <x:v>Broadcast periodically</x:v>
      </x:c>
      <x:c r="H4" s="43" t="str">
        <x:v>Update node table</x:v>
      </x:c>
      <x:c r="I4" s="39"/>
      <x:c r="J4" s="39"/>
      <x:c r="K4" s="39"/>
      <x:c r="L4" s="39"/>
      <x:c r="M4" s="39"/>
      <x:c r="N4" s="39"/>
      <x:c r="O4" s="39"/>
      <x:c r="P4" s="39"/>
      <x:c r="Q4" s="39"/>
      <x:c r="R4" s="39"/>
      <x:c r="S4" s="39"/>
      <x:c r="T4" s="39"/>
      <x:c r="U4" s="39"/>
      <x:c r="V4" s="39"/>
      <x:c r="W4" s="39"/>
      <x:c r="X4" s="39"/>
      <x:c r="Y4" s="39"/>
      <x:c r="Z4" s="39"/>
    </x:row>
    <x:row r="5">
      <x:c r="A5" s="43" t="str">
        <x:v>MSG</x:v>
      </x:c>
      <x:c r="B5" s="43" t="str">
        <x:v>type,msg_id,src,dst,network_id,payload,ttl,path,timestamp</x:v>
      </x:c>
      <x:c r="C5" s="43" t="str">
        <x:v>User text message</x:v>
      </x:c>
      <x:c r="D5" s="43" t="str">
        <x:v>Yes</x:v>
      </x:c>
      <x:c r="E5" s="43" t="str">
        <x:v>Yes</x:v>
      </x:c>
      <x:c r="F5" s="43" t="str">
        <x:v>A1 to B2: emergency text</x:v>
      </x:c>
      <x:c r="G5" s="43" t="str">
        <x:v>Forward/receive/ACK</x:v>
      </x:c>
      <x:c r="H5" s="43" t="str">
        <x:v>Route local or remote</x:v>
      </x:c>
      <x:c r="I5" s="39"/>
      <x:c r="J5" s="39"/>
      <x:c r="K5" s="39"/>
      <x:c r="L5" s="39"/>
      <x:c r="M5" s="39"/>
      <x:c r="N5" s="39"/>
      <x:c r="O5" s="39"/>
      <x:c r="P5" s="39"/>
      <x:c r="Q5" s="39"/>
      <x:c r="R5" s="39"/>
      <x:c r="S5" s="39"/>
      <x:c r="T5" s="39"/>
      <x:c r="U5" s="39"/>
      <x:c r="V5" s="39"/>
      <x:c r="W5" s="39"/>
      <x:c r="X5" s="39"/>
      <x:c r="Y5" s="39"/>
      <x:c r="Z5" s="39"/>
    </x:row>
    <x:row r="6">
      <x:c r="A6" s="43" t="str">
        <x:v>ACK</x:v>
      </x:c>
      <x:c r="B6" s="43" t="str">
        <x:v>type,msg_id,src,dst,status,path,timestamp</x:v>
      </x:c>
      <x:c r="C6" s="43" t="str">
        <x:v>Confirm delivery or relay acceptance</x:v>
      </x:c>
      <x:c r="D6" s="43" t="str">
        <x:v>No</x:v>
      </x:c>
      <x:c r="E6" s="43" t="str">
        <x:v>Yes</x:v>
      </x:c>
      <x:c r="F6" s="43" t="str">
        <x:v>ACK for MSG123</x:v>
      </x:c>
      <x:c r="G6" s="43" t="str">
        <x:v>Return to previous hop</x:v>
      </x:c>
      <x:c r="H6" s="43" t="str">
        <x:v>Update delivery state</x:v>
      </x:c>
      <x:c r="I6" s="39"/>
      <x:c r="J6" s="39"/>
      <x:c r="K6" s="39"/>
      <x:c r="L6" s="39"/>
      <x:c r="M6" s="39"/>
      <x:c r="N6" s="39"/>
      <x:c r="O6" s="39"/>
      <x:c r="P6" s="39"/>
      <x:c r="Q6" s="39"/>
      <x:c r="R6" s="39"/>
      <x:c r="S6" s="39"/>
      <x:c r="T6" s="39"/>
      <x:c r="U6" s="39"/>
      <x:c r="V6" s="39"/>
      <x:c r="W6" s="39"/>
      <x:c r="X6" s="39"/>
      <x:c r="Y6" s="39"/>
      <x:c r="Z6" s="39"/>
    </x:row>
    <x:row r="7">
      <x:c r="A7" s="43" t="str">
        <x:v>ROUTE_ADV</x:v>
      </x:c>
      <x:c r="B7" s="43" t="str">
        <x:v>type,gateway_id,network_id,metric,hop_count</x:v>
      </x:c>
      <x:c r="C7" s="43" t="str">
        <x:v>Gateway/route advertisement</x:v>
      </x:c>
      <x:c r="D7" s="43" t="str">
        <x:v>No</x:v>
      </x:c>
      <x:c r="E7" s="43" t="str">
        <x:v>Latest only</x:v>
      </x:c>
      <x:c r="F7" s="43" t="str">
        <x:v>GWA advertises NET_A</x:v>
      </x:c>
      <x:c r="G7" s="43" t="str">
        <x:v>Store route score</x:v>
      </x:c>
      <x:c r="H7" s="43" t="str">
        <x:v>Advertise network reachability</x:v>
      </x:c>
      <x:c r="I7" s="39"/>
      <x:c r="J7" s="39"/>
      <x:c r="K7" s="39"/>
      <x:c r="L7" s="39"/>
      <x:c r="M7" s="39"/>
      <x:c r="N7" s="39"/>
      <x:c r="O7" s="39"/>
      <x:c r="P7" s="39"/>
      <x:c r="Q7" s="39"/>
      <x:c r="R7" s="39"/>
      <x:c r="S7" s="39"/>
      <x:c r="T7" s="39"/>
      <x:c r="U7" s="39"/>
      <x:c r="V7" s="39"/>
      <x:c r="W7" s="39"/>
      <x:c r="X7" s="39"/>
      <x:c r="Y7" s="39"/>
      <x:c r="Z7" s="39"/>
    </x:row>
    <x:row r="8">
      <x:c r="A8" s="43" t="str">
        <x:v>NACK</x:v>
      </x:c>
      <x:c r="B8" s="43" t="str">
        <x:v>type,msg_id,reason,last_hop</x:v>
      </x:c>
      <x:c r="C8" s="43" t="str">
        <x:v>Signal failure</x:v>
      </x:c>
      <x:c r="D8" s="43" t="str">
        <x:v>No</x:v>
      </x:c>
      <x:c r="E8" s="43" t="str">
        <x:v>Yes</x:v>
      </x:c>
      <x:c r="F8" s="43" t="str">
        <x:v>Destination unreachable</x:v>
      </x:c>
      <x:c r="G8" s="43" t="str">
        <x:v>Try alternate route</x:v>
      </x:c>
      <x:c r="H8" s="43" t="str">
        <x:v>Trigger gateway forwarding</x:v>
      </x:c>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32" hidden="0" customWidth="1"/>
    <x:col min="3" max="3" width="36" hidden="0" customWidth="1"/>
    <x:col min="4" max="4" width="34" hidden="0" customWidth="1"/>
    <x:col min="5" max="5" width="34" hidden="0" customWidth="1"/>
    <x:col min="6" max="6" width="34" hidden="0" customWidth="1"/>
    <x:col min="7" max="7" width="24" hidden="0" customWidth="1"/>
    <x:col min="8" max="8" width="16" hidden="0" customWidth="1"/>
  </x:cols>
  <x:sheetData>
    <x:row r="1">
      <x:c r="A1" s="170" t="str">
        <x:v>Routing &amp; Failover Logic - Test-Aligned</x:v>
      </x:c>
      <x:c r="B1" s="43"/>
      <x:c r="C1" s="43"/>
      <x:c r="D1" s="43"/>
      <x:c r="E1" s="43"/>
      <x:c r="F1" s="43"/>
      <x:c r="G1" s="43"/>
      <x:c r="H1" s="43"/>
      <x:c r="I1" s="39"/>
      <x:c r="J1" s="39"/>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169" t="str">
        <x:v>Mode</x:v>
      </x:c>
      <x:c r="B3" s="169" t="str">
        <x:v>Trigger</x:v>
      </x:c>
      <x:c r="C3" s="169" t="str">
        <x:v>Primary Action</x:v>
      </x:c>
      <x:c r="D3" s="169" t="str">
        <x:v>Fallback Action</x:v>
      </x:c>
      <x:c r="E3" s="169" t="str">
        <x:v>Required Log Fields</x:v>
      </x:c>
      <x:c r="F3" s="169" t="str">
        <x:v>Acceptance Criteria</x:v>
      </x:c>
      <x:c r="G3" s="169" t="str">
        <x:v>Development Phase</x:v>
      </x:c>
      <x:c r="H3" s="169" t="str">
        <x:v>Status</x:v>
      </x:c>
      <x:c r="I3" s="39"/>
      <x:c r="J3" s="39"/>
      <x:c r="K3" s="39"/>
      <x:c r="L3" s="39"/>
      <x:c r="M3" s="39"/>
      <x:c r="N3" s="39"/>
      <x:c r="O3" s="39"/>
      <x:c r="P3" s="39"/>
      <x:c r="Q3" s="39"/>
      <x:c r="R3" s="39"/>
      <x:c r="S3" s="39"/>
      <x:c r="T3" s="39"/>
      <x:c r="U3" s="39"/>
      <x:c r="V3" s="39"/>
      <x:c r="W3" s="39"/>
      <x:c r="X3" s="39"/>
      <x:c r="Y3" s="39"/>
      <x:c r="Z3" s="39"/>
    </x:row>
    <x:row r="4">
      <x:c r="A4" t="str">
        <x:v>Baseline</x:v>
      </x:c>
      <x:c r="B4" t="str">
        <x:v>Startup / stable links</x:v>
      </x:c>
      <x:c r="C4" t="str">
        <x:v>6 nodes discover neighbors and exchange LoRa messages</x:v>
      </x:c>
      <x:c r="D4" t="str">
        <x:v>Keep simulated satellite inactive</x:v>
      </x:c>
      <x:c r="E4" t="str">
        <x:v>startup_time, neighbor_count, pdr, rssi, snr</x:v>
      </x:c>
      <x:c r="F4" t="str">
        <x:v>MANET forms ≤30 sec; PDR ≥95%; satellite inactive</x:v>
      </x:c>
      <x:c r="G4" t="str">
        <x:v>ESP32 + RPi simulation</x:v>
      </x:c>
      <x:c r="H4" t="str">
        <x:v>Pending</x:v>
      </x:c>
      <x:c r="I4" s="39"/>
      <x:c r="J4" s="39"/>
      <x:c r="K4" s="39"/>
      <x:c r="L4" s="39"/>
      <x:c r="M4" s="39"/>
      <x:c r="N4" s="39"/>
      <x:c r="O4" s="39"/>
      <x:c r="P4" s="39"/>
      <x:c r="Q4" s="39"/>
      <x:c r="R4" s="39"/>
      <x:c r="S4" s="39"/>
      <x:c r="T4" s="39"/>
      <x:c r="U4" s="39"/>
      <x:c r="V4" s="39"/>
      <x:c r="W4" s="39"/>
      <x:c r="X4" s="39"/>
      <x:c r="Y4" s="39"/>
      <x:c r="Z4" s="39"/>
    </x:row>
    <x:row r="5">
      <x:c r="A5" t="str">
        <x:v>Degradation Detection</x:v>
      </x:c>
      <x:c r="B5" t="str">
        <x:v>RSSI &lt; -78 dBm for 10 sec or repeated ACK failure</x:v>
      </x:c>
      <x:c r="C5" t="str">
        <x:v>Mark route degraded; record event</x:v>
      </x:c>
      <x:c r="D5" t="str">
        <x:v>Prepare gateway failover route</x:v>
      </x:c>
      <x:c r="E5" t="str">
        <x:v>rssi_min, snr, ack_fail_count, degrade_start, degrade_end</x:v>
      </x:c>
      <x:c r="F5" t="str">
        <x:v>Degradation detected after 10 sec</x:v>
      </x:c>
      <x:c r="G5" t="str">
        <x:v>ESP32 + RPi simulation</x:v>
      </x:c>
      <x:c r="H5" t="str">
        <x:v>Pending</x:v>
      </x:c>
      <x:c r="I5" s="39"/>
      <x:c r="J5" s="39"/>
      <x:c r="K5" s="39"/>
      <x:c r="L5" s="39"/>
      <x:c r="M5" s="39"/>
      <x:c r="N5" s="39"/>
      <x:c r="O5" s="39"/>
      <x:c r="P5" s="39"/>
      <x:c r="Q5" s="39"/>
      <x:c r="R5" s="39"/>
      <x:c r="S5" s="39"/>
      <x:c r="T5" s="39"/>
      <x:c r="U5" s="39"/>
      <x:c r="V5" s="39"/>
      <x:c r="W5" s="39"/>
      <x:c r="X5" s="39"/>
      <x:c r="Y5" s="39"/>
      <x:c r="Z5" s="39"/>
    </x:row>
    <x:row r="6">
      <x:c r="A6" t="str">
        <x:v>Failover Activation</x:v>
      </x:c>
      <x:c r="B6" t="str">
        <x:v>Route unavailable or destination not found locally</x:v>
      </x:c>
      <x:c r="C6" t="str">
        <x:v>Gateway forwards via WiFi-router simulated satellite</x:v>
      </x:c>
      <x:c r="D6" t="str">
        <x:v>Use GSM only if explicitly selected/available</x:v>
      </x:c>
      <x:c r="E6" t="str">
        <x:v>failover_start, failover_end, route_used, queue_depth</x:v>
      </x:c>
      <x:c r="F6" t="str">
        <x:v>Failover trigger time = 10 sec</x:v>
      </x:c>
      <x:c r="G6" t="str">
        <x:v>RPi gateway</x:v>
      </x:c>
      <x:c r="H6" t="str">
        <x:v>Pending</x:v>
      </x:c>
      <x:c r="I6" s="39"/>
      <x:c r="J6" s="39"/>
      <x:c r="K6" s="39"/>
      <x:c r="L6" s="39"/>
      <x:c r="M6" s="39"/>
      <x:c r="N6" s="39"/>
      <x:c r="O6" s="39"/>
      <x:c r="P6" s="39"/>
      <x:c r="Q6" s="39"/>
      <x:c r="R6" s="39"/>
      <x:c r="S6" s="39"/>
      <x:c r="T6" s="39"/>
      <x:c r="U6" s="39"/>
      <x:c r="V6" s="39"/>
      <x:c r="W6" s="39"/>
      <x:c r="X6" s="39"/>
      <x:c r="Y6" s="39"/>
      <x:c r="Z6" s="39"/>
    </x:row>
    <x:row r="7">
      <x:c r="A7" t="str">
        <x:v>Store &amp; Forward</x:v>
      </x:c>
      <x:c r="B7" t="str">
        <x:v>High latency or receiver unavailable</x:v>
      </x:c>
      <x:c r="C7" t="str">
        <x:v>Queue messages and retry until ACK</x:v>
      </x:c>
      <x:c r="D7" t="str">
        <x:v>Preserve FIFO order</x:v>
      </x:c>
      <x:c r="E7" t="str">
        <x:v>message_id, retry_count, queue_time, ack_time</x:v>
      </x:c>
      <x:c r="F7" t="str">
        <x:v>No message loss during recovery test</x:v>
      </x:c>
      <x:c r="G7" t="str">
        <x:v>RPi gateway</x:v>
      </x:c>
      <x:c r="H7" t="str">
        <x:v>Pending</x:v>
      </x:c>
      <x:c r="I7" s="39"/>
      <x:c r="J7" s="39"/>
      <x:c r="K7" s="39"/>
      <x:c r="L7" s="39"/>
      <x:c r="M7" s="39"/>
      <x:c r="N7" s="39"/>
      <x:c r="O7" s="39"/>
      <x:c r="P7" s="39"/>
      <x:c r="Q7" s="39"/>
      <x:c r="R7" s="39"/>
      <x:c r="S7" s="39"/>
      <x:c r="T7" s="39"/>
      <x:c r="U7" s="39"/>
      <x:c r="V7" s="39"/>
      <x:c r="W7" s="39"/>
      <x:c r="X7" s="39"/>
      <x:c r="Y7" s="39"/>
      <x:c r="Z7" s="39"/>
    </x:row>
    <x:row r="8">
      <x:c r="A8" t="str">
        <x:v>Recovery</x:v>
      </x:c>
      <x:c r="B8" t="str">
        <x:v>MANET route stable for 10 sec</x:v>
      </x:c>
      <x:c r="C8" t="str">
        <x:v>Switch back to primary LoRa route</x:v>
      </x:c>
      <x:c r="D8" t="str">
        <x:v>Deactivate simulated satellite path for normal traffic</x:v>
      </x:c>
      <x:c r="E8" t="str">
        <x:v>recovery_start, recovery_end, route_before, route_after</x:v>
      </x:c>
      <x:c r="F8" t="str">
        <x:v>Switchback ≤5 sec; no message loss</x:v>
      </x:c>
      <x:c r="G8" t="str">
        <x:v>RPi gateway</x:v>
      </x:c>
      <x:c r="H8" t="str">
        <x:v>Pending</x:v>
      </x:c>
      <x:c r="I8" s="39"/>
      <x:c r="J8" s="39"/>
      <x:c r="K8" s="39"/>
      <x:c r="L8" s="39"/>
      <x:c r="M8" s="39"/>
      <x:c r="N8" s="39"/>
      <x:c r="O8" s="39"/>
      <x:c r="P8" s="39"/>
      <x:c r="Q8" s="39"/>
      <x:c r="R8" s="39"/>
      <x:c r="S8" s="39"/>
      <x:c r="T8" s="39"/>
      <x:c r="U8" s="39"/>
      <x:c r="V8" s="39"/>
      <x:c r="W8" s="39"/>
      <x:c r="X8" s="39"/>
      <x:c r="Y8" s="39"/>
      <x:c r="Z8" s="39"/>
    </x:row>
    <x:row r="9">
      <x:c r="A9" t="str">
        <x:v>Manual App Selection</x:v>
      </x:c>
      <x:c r="B9" t="str">
        <x:v>User selects LoRa / WiFi / GSM</x:v>
      </x:c>
      <x:c r="C9" t="str">
        <x:v>Use selected interface when available</x:v>
      </x:c>
      <x:c r="D9" t="str">
        <x:v>Show unavailable warning if selected path fails</x:v>
      </x:c>
      <x:c r="E9" t="str">
        <x:v>selected_network, actual_network, error</x:v>
      </x:c>
      <x:c r="F9" t="str">
        <x:v>Manual mode must not break Auto mode tests</x:v>
      </x:c>
      <x:c r="G9" t="str">
        <x:v>Android app</x:v>
      </x:c>
      <x:c r="H9" t="str">
        <x:v>Pending</x:v>
      </x:c>
      <x:c r="I9" s="39"/>
      <x:c r="J9" s="39"/>
      <x:c r="K9" s="39"/>
      <x:c r="L9" s="39"/>
      <x:c r="M9" s="39"/>
      <x:c r="N9" s="39"/>
      <x:c r="O9" s="39"/>
      <x:c r="P9" s="39"/>
      <x:c r="Q9" s="39"/>
      <x:c r="R9" s="39"/>
      <x:c r="S9" s="39"/>
      <x:c r="T9" s="39"/>
      <x:c r="U9" s="39"/>
      <x:c r="V9" s="39"/>
      <x:c r="W9" s="39"/>
      <x:c r="X9" s="39"/>
      <x:c r="Y9" s="39"/>
      <x:c r="Z9" s="39"/>
    </x:row>
    <x:row r="10">
      <x:c r="A10"/>
      <x:c r="B10"/>
      <x:c r="C10"/>
      <x:c r="D10"/>
      <x:c r="E10"/>
      <x:c r="F10"/>
      <x:c r="G10"/>
      <x:c r="H10"/>
      <x:c r="I10" s="39"/>
      <x:c r="J10" s="39"/>
      <x:c r="K10" s="39"/>
      <x:c r="L10" s="39"/>
      <x:c r="M10" s="39"/>
      <x:c r="N10" s="39"/>
      <x:c r="O10" s="39"/>
      <x:c r="P10" s="39"/>
      <x:c r="Q10" s="39"/>
      <x:c r="R10" s="39"/>
      <x:c r="S10" s="39"/>
      <x:c r="T10" s="39"/>
      <x:c r="U10" s="39"/>
      <x:c r="V10" s="39"/>
      <x:c r="W10" s="39"/>
      <x:c r="X10" s="39"/>
      <x:c r="Y10" s="39"/>
      <x:c r="Z10" s="39"/>
    </x:row>
    <x:row r="11">
      <x:c r="A11"/>
      <x:c r="B11"/>
      <x:c r="C11"/>
      <x:c r="D11"/>
      <x:c r="E11"/>
      <x:c r="F11"/>
      <x:c r="G11"/>
      <x:c r="H11"/>
      <x:c r="I11" s="39"/>
      <x:c r="J11" s="39"/>
      <x:c r="K11" s="39"/>
      <x:c r="L11" s="39"/>
      <x:c r="M11" s="39"/>
      <x:c r="N11" s="39"/>
      <x:c r="O11" s="39"/>
      <x:c r="P11" s="39"/>
      <x:c r="Q11" s="39"/>
      <x:c r="R11" s="39"/>
      <x:c r="S11" s="39"/>
      <x:c r="T11" s="39"/>
      <x:c r="U11" s="39"/>
      <x:c r="V11" s="39"/>
      <x:c r="W11" s="39"/>
      <x:c r="X11" s="39"/>
      <x:c r="Y11" s="39"/>
      <x:c r="Z11" s="39"/>
    </x:row>
    <x:row r="12">
      <x:c r="A12"/>
      <x:c r="B12"/>
      <x:c r="C12"/>
      <x:c r="D12"/>
      <x:c r="E12"/>
      <x:c r="F12"/>
      <x:c r="G12"/>
      <x:c r="H12"/>
      <x:c r="I12" s="39"/>
      <x:c r="J12" s="39"/>
      <x:c r="K12" s="39"/>
      <x:c r="L12" s="39"/>
      <x:c r="M12" s="39"/>
      <x:c r="N12" s="39"/>
      <x:c r="O12" s="39"/>
      <x:c r="P12" s="39"/>
      <x:c r="Q12" s="39"/>
      <x:c r="R12" s="39"/>
      <x:c r="S12" s="39"/>
      <x:c r="T12" s="39"/>
      <x:c r="U12" s="39"/>
      <x:c r="V12" s="39"/>
      <x:c r="W12" s="39"/>
      <x:c r="X12" s="39"/>
      <x:c r="Y12" s="39"/>
      <x:c r="Z12" s="39"/>
    </x:row>
    <x:row r="13">
      <x:c r="A13"/>
      <x:c r="B13"/>
      <x:c r="C13"/>
      <x:c r="D13"/>
      <x:c r="E13"/>
      <x:c r="F13"/>
      <x:c r="G13"/>
      <x:c r="H13"/>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45" hidden="0" customWidth="1"/>
    <x:col min="3" max="3" width="24" hidden="0" customWidth="1"/>
    <x:col min="4" max="4" width="24" hidden="0" customWidth="1"/>
    <x:col min="5" max="5" width="32" hidden="0" customWidth="1"/>
    <x:col min="6" max="6" width="32" hidden="0" customWidth="1"/>
    <x:col min="7" max="7" width="12" hidden="0" customWidth="1"/>
    <x:col min="8" max="8" width="14" hidden="0" customWidth="1"/>
    <x:col min="9" max="9" width="34" hidden="0" customWidth="1"/>
  </x:cols>
  <x:sheetData>
    <x:row r="1">
      <x:c r="A1" s="38" t="str">
        <x:v>Simulation-First Development Plan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42" t="str">
        <x:v>Simulation Item</x:v>
      </x:c>
      <x:c r="B3" s="42" t="str">
        <x:v>Description</x:v>
      </x:c>
      <x:c r="C3" s="42" t="str">
        <x:v>Output File/Module</x:v>
      </x:c>
      <x:c r="D3" s="42" t="str">
        <x:v>Inputs</x:v>
      </x:c>
      <x:c r="E3" s="42" t="str">
        <x:v>Expected Output</x:v>
      </x:c>
      <x:c r="F3" s="42" t="str">
        <x:v>Pass Criteria</x:v>
      </x:c>
      <x:c r="G3" s="42" t="str">
        <x:v>Priority</x:v>
      </x:c>
      <x:c r="H3" s="42" t="str">
        <x:v>Status</x:v>
      </x:c>
      <x:c r="I3" s="42" t="str">
        <x:v>Notes</x:v>
      </x:c>
      <x:c r="J3" s="39"/>
      <x:c r="K3" s="39"/>
      <x:c r="L3" s="39"/>
      <x:c r="M3" s="39"/>
      <x:c r="N3" s="39"/>
      <x:c r="O3" s="39"/>
      <x:c r="P3" s="39"/>
      <x:c r="Q3" s="39"/>
      <x:c r="R3" s="39"/>
      <x:c r="S3" s="39"/>
      <x:c r="T3" s="39"/>
      <x:c r="U3" s="39"/>
      <x:c r="V3" s="39"/>
      <x:c r="W3" s="39"/>
      <x:c r="X3" s="39"/>
      <x:c r="Y3" s="39"/>
      <x:c r="Z3" s="39"/>
    </x:row>
    <x:row r="4">
      <x:c r="A4" s="43" t="str">
        <x:v>Node simulator</x:v>
      </x:c>
      <x:c r="B4" s="43" t="str">
        <x:v>Emulates ESP32 node behavior: HELLO, MSG, ACK, retry, battery</x:v>
      </x:c>
      <x:c r="C4" s="43" t="str">
        <x:v>sim_node.py</x:v>
      </x:c>
      <x:c r="D4" s="43" t="str">
        <x:v>Node ID, network ID, links</x:v>
      </x:c>
      <x:c r="E4" s="43" t="str">
        <x:v>Console/log packets</x:v>
      </x:c>
      <x:c r="F4" s="43" t="str">
        <x:v>6 nodes run simultaneously</x:v>
      </x:c>
      <x:c r="G4" s="43" t="str">
        <x:v>High</x:v>
      </x:c>
      <x:c r="H4" s="43" t="str">
        <x:v>Not Started</x:v>
      </x:c>
      <x:c r="I4" s="43" t="str"/>
      <x:c r="J4" s="39"/>
      <x:c r="K4" s="39"/>
      <x:c r="L4" s="39"/>
      <x:c r="M4" s="39"/>
      <x:c r="N4" s="39"/>
      <x:c r="O4" s="39"/>
      <x:c r="P4" s="39"/>
      <x:c r="Q4" s="39"/>
      <x:c r="R4" s="39"/>
      <x:c r="S4" s="39"/>
      <x:c r="T4" s="39"/>
      <x:c r="U4" s="39"/>
      <x:c r="V4" s="39"/>
      <x:c r="W4" s="39"/>
      <x:c r="X4" s="39"/>
      <x:c r="Y4" s="39"/>
      <x:c r="Z4" s="39"/>
    </x:row>
    <x:row r="5">
      <x:c r="A5" s="43" t="str">
        <x:v>Gateway simulator</x:v>
      </x:c>
      <x:c r="B5" s="43" t="str">
        <x:v>Emulates Pi gateway and inter-network routing</x:v>
      </x:c>
      <x:c r="C5" s="43" t="str">
        <x:v>sim_gateway.py</x:v>
      </x:c>
      <x:c r="D5" s="43" t="str">
        <x:v>GWA/GWB config</x:v>
      </x:c>
      <x:c r="E5" s="43" t="str">
        <x:v>Routes unknown destinations to other network</x:v>
      </x:c>
      <x:c r="F5" s="43" t="str">
        <x:v>A1 to B2 delivery works</x:v>
      </x:c>
      <x:c r="G5" s="43" t="str">
        <x:v>High</x:v>
      </x:c>
      <x:c r="H5" s="43" t="str">
        <x:v>Not Started</x:v>
      </x:c>
      <x:c r="I5" s="43" t="str"/>
      <x:c r="J5" s="39"/>
      <x:c r="K5" s="39"/>
      <x:c r="L5" s="39"/>
      <x:c r="M5" s="39"/>
      <x:c r="N5" s="39"/>
      <x:c r="O5" s="39"/>
      <x:c r="P5" s="39"/>
      <x:c r="Q5" s="39"/>
      <x:c r="R5" s="39"/>
      <x:c r="S5" s="39"/>
      <x:c r="T5" s="39"/>
      <x:c r="U5" s="39"/>
      <x:c r="V5" s="39"/>
      <x:c r="W5" s="39"/>
      <x:c r="X5" s="39"/>
      <x:c r="Y5" s="39"/>
      <x:c r="Z5" s="39"/>
    </x:row>
    <x:row r="6">
      <x:c r="A6" s="43" t="str">
        <x:v>Network fault simulator</x:v>
      </x:c>
      <x:c r="B6" s="43" t="str">
        <x:v>Drops packets, lowers RSSI, adds delay</x:v>
      </x:c>
      <x:c r="C6" s="43" t="str">
        <x:v>sim_faults.py</x:v>
      </x:c>
      <x:c r="D6" s="43" t="str">
        <x:v>Fault profile</x:v>
      </x:c>
      <x:c r="E6" s="43" t="str">
        <x:v>Failover/recovery events</x:v>
      </x:c>
      <x:c r="F6" s="43" t="str">
        <x:v>Failover at 10s</x:v>
      </x:c>
      <x:c r="G6" s="43" t="str">
        <x:v>High</x:v>
      </x:c>
      <x:c r="H6" s="43" t="str">
        <x:v>Not Started</x:v>
      </x:c>
      <x:c r="I6" s="43" t="str"/>
      <x:c r="J6" s="39"/>
      <x:c r="K6" s="39"/>
      <x:c r="L6" s="39"/>
      <x:c r="M6" s="39"/>
      <x:c r="N6" s="39"/>
      <x:c r="O6" s="39"/>
      <x:c r="P6" s="39"/>
      <x:c r="Q6" s="39"/>
      <x:c r="R6" s="39"/>
      <x:c r="S6" s="39"/>
      <x:c r="T6" s="39"/>
      <x:c r="U6" s="39"/>
      <x:c r="V6" s="39"/>
      <x:c r="W6" s="39"/>
      <x:c r="X6" s="39"/>
      <x:c r="Y6" s="39"/>
      <x:c r="Z6" s="39"/>
    </x:row>
    <x:row r="7">
      <x:c r="A7" s="43" t="str">
        <x:v>Message store</x:v>
      </x:c>
      <x:c r="B7" s="43" t="str">
        <x:v>SQLite or JSONL logs for messages and events</x:v>
      </x:c>
      <x:c r="C7" s="43" t="str">
        <x:v>messages.db/logs</x:v>
      </x:c>
      <x:c r="D7" s="43" t="str">
        <x:v>Packets/events</x:v>
      </x:c>
      <x:c r="E7" s="43" t="str">
        <x:v>Traceable delivery status</x:v>
      </x:c>
      <x:c r="F7" s="43" t="str">
        <x:v>No duplicate delivered messages</x:v>
      </x:c>
      <x:c r="G7" s="43" t="str">
        <x:v>High</x:v>
      </x:c>
      <x:c r="H7" s="43" t="str">
        <x:v>Not Started</x:v>
      </x:c>
      <x:c r="I7" s="43" t="str"/>
      <x:c r="J7" s="39"/>
      <x:c r="K7" s="39"/>
      <x:c r="L7" s="39"/>
      <x:c r="M7" s="39"/>
      <x:c r="N7" s="39"/>
      <x:c r="O7" s="39"/>
      <x:c r="P7" s="39"/>
      <x:c r="Q7" s="39"/>
      <x:c r="R7" s="39"/>
      <x:c r="S7" s="39"/>
      <x:c r="T7" s="39"/>
      <x:c r="U7" s="39"/>
      <x:c r="V7" s="39"/>
      <x:c r="W7" s="39"/>
      <x:c r="X7" s="39"/>
      <x:c r="Y7" s="39"/>
      <x:c r="Z7" s="39"/>
    </x:row>
    <x:row r="8">
      <x:c r="A8" s="43" t="str">
        <x:v>Dashboard mock</x:v>
      </x:c>
      <x:c r="B8" s="43" t="str">
        <x:v>Optional local web view for simulation</x:v>
      </x:c>
      <x:c r="C8" s="43" t="str">
        <x:v>Flask app</x:v>
      </x:c>
      <x:c r="D8" s="43" t="str">
        <x:v>Sim state</x:v>
      </x:c>
      <x:c r="E8" s="43" t="str">
        <x:v>Node and route display</x:v>
      </x:c>
      <x:c r="F8" s="43" t="str">
        <x:v>Usable before hardware</x:v>
      </x:c>
      <x:c r="G8" s="43" t="str">
        <x:v>Medium</x:v>
      </x:c>
      <x:c r="H8" s="43" t="str">
        <x:v>Not Started</x:v>
      </x:c>
      <x:c r="I8" s="43" t="str"/>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35" hidden="0" customWidth="1"/>
    <x:col min="3" max="3" width="38" hidden="0" customWidth="1"/>
    <x:col min="4" max="4" width="28" hidden="0" customWidth="1"/>
    <x:col min="5" max="5" width="24" hidden="0" customWidth="1"/>
    <x:col min="6" max="6" width="20" hidden="0" customWidth="1"/>
    <x:col min="7" max="7" width="16" hidden="0" customWidth="1"/>
    <x:col min="8" max="8" width="45" hidden="0" customWidth="1"/>
  </x:cols>
  <x:sheetData>
    <x:row r="1">
      <x:c r="A1" s="170" t="str">
        <x:v>Android Messaging App Plan - Bluetooth / WiFi / GSM / LoRa</x:v>
      </x:c>
      <x:c r="B1" s="43"/>
      <x:c r="C1" s="43"/>
      <x:c r="D1" s="43"/>
      <x:c r="E1" s="43"/>
      <x:c r="F1" s="43"/>
      <x:c r="G1" s="43"/>
      <x:c r="H1" s="43"/>
      <x:c r="I1" s="39"/>
      <x:c r="J1" s="39"/>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169" t="str">
        <x:v>Feature</x:v>
      </x:c>
      <x:c r="B3" s="169" t="str">
        <x:v>Purpose</x:v>
      </x:c>
      <x:c r="C3" s="169" t="str">
        <x:v>Minimum Requirement</x:v>
      </x:c>
      <x:c r="D3" s="169" t="str">
        <x:v>Test Impact</x:v>
      </x:c>
      <x:c r="E3" s="169" t="str">
        <x:v>Interface</x:v>
      </x:c>
      <x:c r="F3" s="169" t="str">
        <x:v>Phase</x:v>
      </x:c>
      <x:c r="G3" s="169" t="str">
        <x:v>Status</x:v>
      </x:c>
      <x:c r="H3" s="169" t="str">
        <x:v>Notes</x:v>
      </x:c>
      <x:c r="I3" s="39"/>
      <x:c r="J3" s="39"/>
      <x:c r="K3" s="39"/>
      <x:c r="L3" s="39"/>
      <x:c r="M3" s="39"/>
      <x:c r="N3" s="39"/>
      <x:c r="O3" s="39"/>
      <x:c r="P3" s="39"/>
      <x:c r="Q3" s="39"/>
      <x:c r="R3" s="39"/>
      <x:c r="S3" s="39"/>
      <x:c r="T3" s="39"/>
      <x:c r="U3" s="39"/>
      <x:c r="V3" s="39"/>
      <x:c r="W3" s="39"/>
      <x:c r="X3" s="39"/>
      <x:c r="Y3" s="39"/>
      <x:c r="Z3" s="39"/>
    </x:row>
    <x:row r="4">
      <x:c r="A4" t="str">
        <x:v>Bluetooth pairing to ESP32 node</x:v>
      </x:c>
      <x:c r="B4" t="str">
        <x:v>Route messages to LoRa when WiFi/GSM are unavailable</x:v>
      </x:c>
      <x:c r="C4" t="str">
        <x:v>Pair one phone to one MANET node; reconnect automatically</x:v>
      </x:c>
      <x:c r="D4" t="str">
        <x:v>Required for end-to-end LoRa validation</x:v>
      </x:c>
      <x:c r="E4" t="str">
        <x:v>Bluetooth Serial/BLE</x:v>
      </x:c>
      <x:c r="F4" t="str">
        <x:v>Android Phase 1</x:v>
      </x:c>
      <x:c r="G4" t="str">
        <x:v>Pending</x:v>
      </x:c>
      <x:c r="H4" t="str">
        <x:v>Start with classic Bluetooth SPP if ESP32 Android compatibility is acceptable; BLE if needed.</x:v>
      </x:c>
      <x:c r="I4" s="39"/>
      <x:c r="J4" s="39"/>
      <x:c r="K4" s="39"/>
      <x:c r="L4" s="39"/>
      <x:c r="M4" s="39"/>
      <x:c r="N4" s="39"/>
      <x:c r="O4" s="39"/>
      <x:c r="P4" s="39"/>
      <x:c r="Q4" s="39"/>
      <x:c r="R4" s="39"/>
      <x:c r="S4" s="39"/>
      <x:c r="T4" s="39"/>
      <x:c r="U4" s="39"/>
      <x:c r="V4" s="39"/>
      <x:c r="W4" s="39"/>
      <x:c r="X4" s="39"/>
      <x:c r="Y4" s="39"/>
      <x:c r="Z4" s="39"/>
    </x:row>
    <x:row r="5">
      <x:c r="A5" t="str">
        <x:v>Auto network selection</x:v>
      </x:c>
      <x:c r="B5" t="str">
        <x:v>Select best available route</x:v>
      </x:c>
      <x:c r="C5" t="str">
        <x:v>Check WiFi, GSM, Bluetooth-LoRa status</x:v>
      </x:c>
      <x:c r="D5" t="str">
        <x:v>Supports degraded/failover behavior</x:v>
      </x:c>
      <x:c r="E5" t="str">
        <x:v>Android network APIs + BT status</x:v>
      </x:c>
      <x:c r="F5" t="str">
        <x:v>Android Phase 2</x:v>
      </x:c>
      <x:c r="G5" t="str">
        <x:v>Pending</x:v>
      </x:c>
      <x:c r="H5" t="str">
        <x:v>Auto should prefer local WiFi when valid, then GSM, then LoRa depending on policy; tests can force LoRa.</x:v>
      </x:c>
      <x:c r="I5" s="39"/>
      <x:c r="J5" s="39"/>
      <x:c r="K5" s="39"/>
      <x:c r="L5" s="39"/>
      <x:c r="M5" s="39"/>
      <x:c r="N5" s="39"/>
      <x:c r="O5" s="39"/>
      <x:c r="P5" s="39"/>
      <x:c r="Q5" s="39"/>
      <x:c r="R5" s="39"/>
      <x:c r="S5" s="39"/>
      <x:c r="T5" s="39"/>
      <x:c r="U5" s="39"/>
      <x:c r="V5" s="39"/>
      <x:c r="W5" s="39"/>
      <x:c r="X5" s="39"/>
      <x:c r="Y5" s="39"/>
      <x:c r="Z5" s="39"/>
    </x:row>
    <x:row r="6">
      <x:c r="A6" t="str">
        <x:v>Manual route selection</x:v>
      </x:c>
      <x:c r="B6" t="str">
        <x:v>User can choose LoRa, WiFi, or GSM</x:v>
      </x:c>
      <x:c r="C6" t="str">
        <x:v>Dropdown or segmented control</x:v>
      </x:c>
      <x:c r="D6" t="str">
        <x:v>Allows controlled test cases</x:v>
      </x:c>
      <x:c r="E6" t="str">
        <x:v>UI setting</x:v>
      </x:c>
      <x:c r="F6" t="str">
        <x:v>Android Phase 2</x:v>
      </x:c>
      <x:c r="G6" t="str">
        <x:v>Pending</x:v>
      </x:c>
      <x:c r="H6" t="str">
        <x:v>Manual setting must show selected and actual route.</x:v>
      </x:c>
      <x:c r="I6" s="39"/>
      <x:c r="J6" s="39"/>
      <x:c r="K6" s="39"/>
      <x:c r="L6" s="39"/>
      <x:c r="M6" s="39"/>
      <x:c r="N6" s="39"/>
      <x:c r="O6" s="39"/>
      <x:c r="P6" s="39"/>
      <x:c r="Q6" s="39"/>
      <x:c r="R6" s="39"/>
      <x:c r="S6" s="39"/>
      <x:c r="T6" s="39"/>
      <x:c r="U6" s="39"/>
      <x:c r="V6" s="39"/>
      <x:c r="W6" s="39"/>
      <x:c r="X6" s="39"/>
      <x:c r="Y6" s="39"/>
      <x:c r="Z6" s="39"/>
    </x:row>
    <x:row r="7">
      <x:c r="A7" t="str">
        <x:v>Message status</x:v>
      </x:c>
      <x:c r="B7" t="str">
        <x:v>Show sent, queued, delivered, failed</x:v>
      </x:c>
      <x:c r="C7" t="str">
        <x:v>Display ACK state and route used</x:v>
      </x:c>
      <x:c r="D7" t="str">
        <x:v>Needed for validation evidence</x:v>
      </x:c>
      <x:c r="E7" t="str">
        <x:v>Gateway/API + BT response</x:v>
      </x:c>
      <x:c r="F7" t="str">
        <x:v>Android Phase 2</x:v>
      </x:c>
      <x:c r="G7" t="str">
        <x:v>Pending</x:v>
      </x:c>
      <x:c r="H7" t="str">
        <x:v>Keep message IDs visible in debug mode.</x:v>
      </x:c>
      <x:c r="I7" s="39"/>
      <x:c r="J7" s="39"/>
      <x:c r="K7" s="39"/>
      <x:c r="L7" s="39"/>
      <x:c r="M7" s="39"/>
      <x:c r="N7" s="39"/>
      <x:c r="O7" s="39"/>
      <x:c r="P7" s="39"/>
      <x:c r="Q7" s="39"/>
      <x:c r="R7" s="39"/>
      <x:c r="S7" s="39"/>
      <x:c r="T7" s="39"/>
      <x:c r="U7" s="39"/>
      <x:c r="V7" s="39"/>
      <x:c r="W7" s="39"/>
      <x:c r="X7" s="39"/>
      <x:c r="Y7" s="39"/>
      <x:c r="Z7" s="39"/>
    </x:row>
    <x:row r="8">
      <x:c r="A8" t="str">
        <x:v>Simulation mode</x:v>
      </x:c>
      <x:c r="B8" t="str">
        <x:v>Test without real radios</x:v>
      </x:c>
      <x:c r="C8" t="str">
        <x:v>Mock route status and message delivery</x:v>
      </x:c>
      <x:c r="D8" t="str">
        <x:v>Used before hardware testing</x:v>
      </x:c>
      <x:c r="E8" t="str">
        <x:v>Local mock service</x:v>
      </x:c>
      <x:c r="F8" t="str">
        <x:v>Android Phase 0</x:v>
      </x:c>
      <x:c r="G8" t="str">
        <x:v>Pending</x:v>
      </x:c>
      <x:c r="H8" t="str">
        <x:v>Important because development starts in simulation.</x:v>
      </x:c>
      <x:c r="I8" s="39"/>
      <x:c r="J8" s="39"/>
      <x:c r="K8" s="39"/>
      <x:c r="L8" s="39"/>
      <x:c r="M8" s="39"/>
      <x:c r="N8" s="39"/>
      <x:c r="O8" s="39"/>
      <x:c r="P8" s="39"/>
      <x:c r="Q8" s="39"/>
      <x:c r="R8" s="39"/>
      <x:c r="S8" s="39"/>
      <x:c r="T8" s="39"/>
      <x:c r="U8" s="39"/>
      <x:c r="V8" s="39"/>
      <x:c r="W8" s="39"/>
      <x:c r="X8" s="39"/>
      <x:c r="Y8" s="39"/>
      <x:c r="Z8" s="39"/>
    </x:row>
    <x:row r="9">
      <x:c r="A9"/>
      <x:c r="B9"/>
      <x:c r="C9"/>
      <x:c r="D9"/>
      <x:c r="E9"/>
      <x:c r="F9"/>
      <x:c r="G9"/>
      <x:c r="H9"/>
      <x:c r="I9" s="39"/>
      <x:c r="J9" s="39"/>
      <x:c r="K9" s="39"/>
      <x:c r="L9" s="39"/>
      <x:c r="M9" s="39"/>
      <x:c r="N9" s="39"/>
      <x:c r="O9" s="39"/>
      <x:c r="P9" s="39"/>
      <x:c r="Q9" s="39"/>
      <x:c r="R9" s="39"/>
      <x:c r="S9" s="39"/>
      <x:c r="T9" s="39"/>
      <x:c r="U9" s="39"/>
      <x:c r="V9" s="39"/>
      <x:c r="W9" s="39"/>
      <x:c r="X9" s="39"/>
      <x:c r="Y9" s="39"/>
      <x:c r="Z9" s="39"/>
    </x:row>
    <x:row r="10">
      <x:c r="A10"/>
      <x:c r="B10"/>
      <x:c r="C10"/>
      <x:c r="D10"/>
      <x:c r="E10"/>
      <x:c r="F10"/>
      <x:c r="G10"/>
      <x:c r="H10"/>
      <x:c r="I10" s="39"/>
      <x:c r="J10" s="39"/>
      <x:c r="K10" s="39"/>
      <x:c r="L10" s="39"/>
      <x:c r="M10" s="39"/>
      <x:c r="N10" s="39"/>
      <x:c r="O10" s="39"/>
      <x:c r="P10" s="39"/>
      <x:c r="Q10" s="39"/>
      <x:c r="R10" s="39"/>
      <x:c r="S10" s="39"/>
      <x:c r="T10" s="39"/>
      <x:c r="U10" s="39"/>
      <x:c r="V10" s="39"/>
      <x:c r="W10" s="39"/>
      <x:c r="X10" s="39"/>
      <x:c r="Y10" s="39"/>
      <x:c r="Z10" s="39"/>
    </x:row>
    <x:row r="11">
      <x:c r="A11"/>
      <x:c r="B11"/>
      <x:c r="C11"/>
      <x:c r="D11"/>
      <x:c r="E11"/>
      <x:c r="F11"/>
      <x:c r="G11"/>
      <x:c r="H11"/>
      <x:c r="I11" s="39"/>
      <x:c r="J11" s="39"/>
      <x:c r="K11" s="39"/>
      <x:c r="L11" s="39"/>
      <x:c r="M11" s="39"/>
      <x:c r="N11" s="39"/>
      <x:c r="O11" s="39"/>
      <x:c r="P11" s="39"/>
      <x:c r="Q11" s="39"/>
      <x:c r="R11" s="39"/>
      <x:c r="S11" s="39"/>
      <x:c r="T11" s="39"/>
      <x:c r="U11" s="39"/>
      <x:c r="V11" s="39"/>
      <x:c r="W11" s="39"/>
      <x:c r="X11" s="39"/>
      <x:c r="Y11" s="39"/>
      <x:c r="Z11" s="39"/>
    </x:row>
    <x:row r="12">
      <x:c r="A12"/>
      <x:c r="B12"/>
      <x:c r="C12"/>
      <x:c r="D12"/>
      <x:c r="E12"/>
      <x:c r="F12"/>
      <x:c r="G12"/>
      <x:c r="H12"/>
      <x:c r="I12" s="39"/>
      <x:c r="J12" s="39"/>
      <x:c r="K12" s="39"/>
      <x:c r="L12" s="39"/>
      <x:c r="M12" s="39"/>
      <x:c r="N12" s="39"/>
      <x:c r="O12" s="39"/>
      <x:c r="P12" s="39"/>
      <x:c r="Q12" s="39"/>
      <x:c r="R12" s="39"/>
      <x:c r="S12" s="39"/>
      <x:c r="T12" s="39"/>
      <x:c r="U12" s="39"/>
      <x:c r="V12" s="39"/>
      <x:c r="W12" s="39"/>
      <x:c r="X12" s="39"/>
      <x:c r="Y12" s="39"/>
      <x:c r="Z12" s="39"/>
    </x:row>
    <x:row r="13">
      <x:c r="A13"/>
      <x:c r="B13"/>
      <x:c r="C13"/>
      <x:c r="D13"/>
      <x:c r="E13"/>
      <x:c r="F13"/>
      <x:c r="G13"/>
      <x:c r="H13"/>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26" hidden="0" customWidth="1"/>
    <x:col min="2" max="2" width="22" hidden="0" customWidth="1"/>
    <x:col min="3" max="3" width="36" hidden="0" customWidth="1"/>
    <x:col min="4" max="4" width="38" hidden="0" customWidth="1"/>
    <x:col min="5" max="5" width="32" hidden="0" customWidth="1"/>
    <x:col min="6" max="6" width="36" hidden="0" customWidth="1"/>
    <x:col min="7" max="7" width="32" hidden="0" customWidth="1"/>
    <x:col min="8" max="8" width="32" hidden="0" customWidth="1"/>
    <x:col min="9" max="9" width="30" hidden="0" customWidth="1"/>
    <x:col min="10" max="10" width="16" hidden="0" customWidth="1"/>
  </x:cols>
  <x:sheetData>
    <x:row r="1">
      <x:c r="A1" s="170" t="str">
        <x:v>Test Campaign - Pass/Fail Mapping to Updated Diagrams</x:v>
      </x:c>
      <x:c r="B1" s="43"/>
      <x:c r="C1" s="43"/>
      <x:c r="D1" s="43"/>
      <x:c r="E1" s="43"/>
      <x:c r="F1" s="43"/>
      <x:c r="G1" s="43"/>
      <x:c r="H1" s="43"/>
      <x:c r="I1" s="43"/>
      <x:c r="J1" s="43"/>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169" t="str">
        <x:v>Test</x:v>
      </x:c>
      <x:c r="B3" s="169" t="str">
        <x:v>System Mode</x:v>
      </x:c>
      <x:c r="C3" s="169" t="str">
        <x:v>Required Setup</x:v>
      </x:c>
      <x:c r="D3" s="169" t="str">
        <x:v>Procedure Focus</x:v>
      </x:c>
      <x:c r="E3" s="169" t="str">
        <x:v>Measured Parameters</x:v>
      </x:c>
      <x:c r="F3" s="169" t="str">
        <x:v>Acceptance Criteria</x:v>
      </x:c>
      <x:c r="G3" s="169" t="str">
        <x:v>Diagram Reference</x:v>
      </x:c>
      <x:c r="H3" s="169" t="str">
        <x:v>Workbook Reference</x:v>
      </x:c>
      <x:c r="I3" s="169" t="str">
        <x:v>Evidence to Capture</x:v>
      </x:c>
      <x:c r="J3" s="169" t="str">
        <x:v>Status</x:v>
      </x:c>
      <x:c r="K3" s="39"/>
      <x:c r="L3" s="39"/>
      <x:c r="M3" s="39"/>
      <x:c r="N3" s="39"/>
      <x:c r="O3" s="39"/>
      <x:c r="P3" s="39"/>
      <x:c r="Q3" s="39"/>
      <x:c r="R3" s="39"/>
      <x:c r="S3" s="39"/>
      <x:c r="T3" s="39"/>
      <x:c r="U3" s="39"/>
      <x:c r="V3" s="39"/>
      <x:c r="W3" s="39"/>
      <x:c r="X3" s="39"/>
      <x:c r="Y3" s="39"/>
      <x:c r="Z3" s="39"/>
    </x:row>
    <x:row r="4">
      <x:c r="A4" t="str">
        <x:v>Baseline Operation</x:v>
      </x:c>
      <x:c r="B4" t="str">
        <x:v>Normal LoRa MANET</x:v>
      </x:c>
      <x:c r="C4" t="str">
        <x:v>6 ESP32 LoRa nodes, 2 gateways, satellite routers inactive</x:v>
      </x:c>
      <x:c r="D4" t="str">
        <x:v>Auto-discovery and periodic text packets</x:v>
      </x:c>
      <x:c r="E4" t="str">
        <x:v>RSSI, SNR, hop count, PDR, latency</x:v>
      </x:c>
      <x:c r="F4" t="str">
        <x:v>PDR ≥95%; MANET forms ≤30 sec; satellite inactive</x:v>
      </x:c>
      <x:c r="G4" t="str">
        <x:v>System Diagram + Data Flow steps 1-4</x:v>
      </x:c>
      <x:c r="H4" t="str">
        <x:v>Routing &amp; Failover row Baseline</x:v>
      </x:c>
      <x:c r="I4" t="str">
        <x:v>Startup logs, PDR report, screenshot</x:v>
      </x:c>
      <x:c r="J4" t="str">
        <x:v>Pending</x:v>
      </x:c>
      <x:c r="K4" s="39"/>
      <x:c r="L4" s="39"/>
      <x:c r="M4" s="39"/>
      <x:c r="N4" s="39"/>
      <x:c r="O4" s="39"/>
      <x:c r="P4" s="39"/>
      <x:c r="Q4" s="39"/>
      <x:c r="R4" s="39"/>
      <x:c r="S4" s="39"/>
      <x:c r="T4" s="39"/>
      <x:c r="U4" s="39"/>
      <x:c r="V4" s="39"/>
      <x:c r="W4" s="39"/>
      <x:c r="X4" s="39"/>
      <x:c r="Y4" s="39"/>
      <x:c r="Z4" s="39"/>
    </x:row>
    <x:row r="5">
      <x:c r="A5" t="str">
        <x:v>Network Degradation Detection</x:v>
      </x:c>
      <x:c r="B5" t="str">
        <x:v>Degraded MANET</x:v>
      </x:c>
      <x:c r="C5" t="str">
        <x:v>Same as baseline with distance/attenuation introduced</x:v>
      </x:c>
      <x:c r="D5" t="str">
        <x:v>Lower RSSI until threshold condition</x:v>
      </x:c>
      <x:c r="E5" t="str">
        <x:v>RSSI trend, detection time, route change</x:v>
      </x:c>
      <x:c r="F5" t="str">
        <x:v>RSSI &lt; -78 dBm for 10 sec must be detected</x:v>
      </x:c>
      <x:c r="G5" t="str">
        <x:v>Control Logic block</x:v>
      </x:c>
      <x:c r="H5" t="str">
        <x:v>Routing &amp; Failover row Degradation Detection</x:v>
      </x:c>
      <x:c r="I5" t="str">
        <x:v>RSSI log graph/table</x:v>
      </x:c>
      <x:c r="J5" t="str">
        <x:v>Pending</x:v>
      </x:c>
      <x:c r="K5" s="39"/>
      <x:c r="L5" s="39"/>
      <x:c r="M5" s="39"/>
      <x:c r="N5" s="39"/>
      <x:c r="O5" s="39"/>
      <x:c r="P5" s="39"/>
      <x:c r="Q5" s="39"/>
      <x:c r="R5" s="39"/>
      <x:c r="S5" s="39"/>
      <x:c r="T5" s="39"/>
      <x:c r="U5" s="39"/>
      <x:c r="V5" s="39"/>
      <x:c r="W5" s="39"/>
      <x:c r="X5" s="39"/>
      <x:c r="Y5" s="39"/>
      <x:c r="Z5" s="39"/>
    </x:row>
    <x:row r="6">
      <x:c r="A6" t="str">
        <x:v>Failover Activation</x:v>
      </x:c>
      <x:c r="B6" t="str">
        <x:v>Failover via simulated satellite</x:v>
      </x:c>
      <x:c r="C6" t="str">
        <x:v>MANET active, WiFi router-to-router link available</x:v>
      </x:c>
      <x:c r="D6" t="str">
        <x:v>Route unavailable or destination not found locally</x:v>
      </x:c>
      <x:c r="E6" t="str">
        <x:v>Trigger time, gateway status, queue depth</x:v>
      </x:c>
      <x:c r="F6" t="str">
        <x:v>Failover trigger time = 10 sec</x:v>
      </x:c>
      <x:c r="G6" t="str">
        <x:v>System Diagram failover path; Data Flow step 5</x:v>
      </x:c>
      <x:c r="H6" t="str">
        <x:v>Routing &amp; Failover row Failover Activation</x:v>
      </x:c>
      <x:c r="I6" t="str">
        <x:v>Gateway logs + message delivery proof</x:v>
      </x:c>
      <x:c r="J6" t="str">
        <x:v>Pending</x:v>
      </x:c>
      <x:c r="K6" s="39"/>
      <x:c r="L6" s="39"/>
      <x:c r="M6" s="39"/>
      <x:c r="N6" s="39"/>
      <x:c r="O6" s="39"/>
      <x:c r="P6" s="39"/>
      <x:c r="Q6" s="39"/>
      <x:c r="R6" s="39"/>
      <x:c r="S6" s="39"/>
      <x:c r="T6" s="39"/>
      <x:c r="U6" s="39"/>
      <x:c r="V6" s="39"/>
      <x:c r="W6" s="39"/>
      <x:c r="X6" s="39"/>
      <x:c r="Y6" s="39"/>
      <x:c r="Z6" s="39"/>
    </x:row>
    <x:row r="7">
      <x:c r="A7" t="str">
        <x:v>Sustained Emergency Operation</x:v>
      </x:c>
      <x:c r="B7" t="str">
        <x:v>Emergency operation</x:v>
      </x:c>
      <x:c r="C7" t="str">
        <x:v>Battery-powered nodes and gateways running</x:v>
      </x:c>
      <x:c r="D7" t="str">
        <x:v>Run for 24 hours with controlled events</x:v>
      </x:c>
      <x:c r="E7" t="str">
        <x:v>Uptime, battery, route stability, queue health</x:v>
      </x:c>
      <x:c r="F7" t="str">
        <x:v>Uptime ≥80%; no crash/deadlock</x:v>
      </x:c>
      <x:c r="G7" t="str">
        <x:v>System Diagram test-critical logic</x:v>
      </x:c>
      <x:c r="H7" t="str">
        <x:v>Simulation Plan + Progress Tracker</x:v>
      </x:c>
      <x:c r="I7" t="str">
        <x:v>24-hour service logs</x:v>
      </x:c>
      <x:c r="J7" t="str">
        <x:v>Pending</x:v>
      </x:c>
      <x:c r="K7" s="39"/>
      <x:c r="L7" s="39"/>
      <x:c r="M7" s="39"/>
      <x:c r="N7" s="39"/>
      <x:c r="O7" s="39"/>
      <x:c r="P7" s="39"/>
      <x:c r="Q7" s="39"/>
      <x:c r="R7" s="39"/>
      <x:c r="S7" s="39"/>
      <x:c r="T7" s="39"/>
      <x:c r="U7" s="39"/>
      <x:c r="V7" s="39"/>
      <x:c r="W7" s="39"/>
      <x:c r="X7" s="39"/>
      <x:c r="Y7" s="39"/>
      <x:c r="Z7" s="39"/>
    </x:row>
    <x:row r="8">
      <x:c r="A8" t="str">
        <x:v>Recovery and Reversion</x:v>
      </x:c>
      <x:c r="B8" t="str">
        <x:v>Recovery mode</x:v>
      </x:c>
      <x:c r="C8" t="str">
        <x:v>Start in failover, then restore MANET link quality</x:v>
      </x:c>
      <x:c r="D8" t="str">
        <x:v>Stable RSSI for 10 sec then switch back</x:v>
      </x:c>
      <x:c r="E8" t="str">
        <x:v>Recovery time, packet loss, route before/after</x:v>
      </x:c>
      <x:c r="F8" t="str">
        <x:v>Switchback ≤5 sec; no message loss</x:v>
      </x:c>
      <x:c r="G8" t="str">
        <x:v>Data Flow recovery row</x:v>
      </x:c>
      <x:c r="H8" t="str">
        <x:v>Routing &amp; Failover row Recovery</x:v>
      </x:c>
      <x:c r="I8" t="str">
        <x:v>Route-change logs + message ACKs</x:v>
      </x:c>
      <x:c r="J8" t="str">
        <x:v>Pending</x:v>
      </x:c>
      <x:c r="K8" s="39"/>
      <x:c r="L8" s="39"/>
      <x:c r="M8" s="39"/>
      <x:c r="N8" s="39"/>
      <x:c r="O8" s="39"/>
      <x:c r="P8" s="39"/>
      <x:c r="Q8" s="39"/>
      <x:c r="R8" s="39"/>
      <x:c r="S8" s="39"/>
      <x:c r="T8" s="39"/>
      <x:c r="U8" s="39"/>
      <x:c r="V8" s="39"/>
      <x:c r="W8" s="39"/>
      <x:c r="X8" s="39"/>
      <x:c r="Y8" s="39"/>
      <x:c r="Z8" s="39"/>
    </x:row>
    <x:row r="9">
      <x:c r="A9"/>
      <x:c r="B9"/>
      <x:c r="C9"/>
      <x:c r="D9"/>
      <x:c r="E9"/>
      <x:c r="F9"/>
      <x:c r="G9"/>
      <x:c r="H9"/>
      <x:c r="I9"/>
      <x:c r="J9"/>
      <x:c r="K9" s="39"/>
      <x:c r="L9" s="39"/>
      <x:c r="M9" s="39"/>
      <x:c r="N9" s="39"/>
      <x:c r="O9" s="39"/>
      <x:c r="P9" s="39"/>
      <x:c r="Q9" s="39"/>
      <x:c r="R9" s="39"/>
      <x:c r="S9" s="39"/>
      <x:c r="T9" s="39"/>
      <x:c r="U9" s="39"/>
      <x:c r="V9" s="39"/>
      <x:c r="W9" s="39"/>
      <x:c r="X9" s="39"/>
      <x:c r="Y9" s="39"/>
      <x:c r="Z9" s="39"/>
    </x:row>
    <x:row r="10">
      <x:c r="A10"/>
      <x:c r="B10"/>
      <x:c r="C10"/>
      <x:c r="D10"/>
      <x:c r="E10"/>
      <x:c r="F10"/>
      <x:c r="G10"/>
      <x:c r="H10"/>
      <x:c r="I10"/>
      <x:c r="J10"/>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J1"/>
  </x:mergeCells>
  <x:dataValidations count="1">
    <x:dataValidation type="list" sqref="H4:H100">
      <x:formula1>"Not Started,In Progress,Pass,Fail,Blocked"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0" hidden="0" customWidth="1"/>
    <x:col min="3" max="3" width="45" hidden="0" customWidth="1"/>
    <x:col min="4" max="4" width="36" hidden="0" customWidth="1"/>
    <x:col min="5" max="5" width="28" hidden="0" customWidth="1"/>
    <x:col min="6" max="6" width="18" hidden="0" customWidth="1"/>
    <x:col min="7" max="7" width="24" hidden="0" customWidth="1"/>
    <x:col min="8" max="8" width="40" hidden="0" customWidth="1"/>
  </x:cols>
  <x:sheetData>
    <x:row r="1">
      <x:c r="A1" s="38" t="str">
        <x:v>Progress Log</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42" t="str">
        <x:v>Date</x:v>
      </x:c>
      <x:c r="B3" s="42" t="str">
        <x:v>Step ID</x:v>
      </x:c>
      <x:c r="C3" s="42" t="str">
        <x:v>What Was Done</x:v>
      </x:c>
      <x:c r="D3" s="42" t="str">
        <x:v>Result</x:v>
      </x:c>
      <x:c r="E3" s="42" t="str">
        <x:v>Evidence</x:v>
      </x:c>
      <x:c r="F3" s="42" t="str">
        <x:v>Updated By</x:v>
      </x:c>
      <x:c r="G3" s="42" t="str">
        <x:v>Next Step</x:v>
      </x:c>
      <x:c r="H3" s="42" t="str">
        <x:v>Notes</x:v>
      </x:c>
      <x:c r="I3" s="39"/>
      <x:c r="J3" s="39"/>
      <x:c r="K3" s="39"/>
      <x:c r="L3" s="39"/>
      <x:c r="M3" s="39"/>
      <x:c r="N3" s="39"/>
      <x:c r="O3" s="39"/>
      <x:c r="P3" s="39"/>
      <x:c r="Q3" s="39"/>
      <x:c r="R3" s="39"/>
      <x:c r="S3" s="39"/>
      <x:c r="T3" s="39"/>
      <x:c r="U3" s="39"/>
      <x:c r="V3" s="39"/>
      <x:c r="W3" s="39"/>
      <x:c r="X3" s="39"/>
      <x:c r="Y3" s="39"/>
      <x:c r="Z3" s="39"/>
    </x:row>
    <x:row r="4">
      <x:c r="A4" s="43"/>
      <x:c r="B4" s="43"/>
      <x:c r="C4" s="43"/>
      <x:c r="D4" s="43"/>
      <x:c r="E4" s="43"/>
      <x:c r="F4" s="43"/>
      <x:c r="G4" s="43"/>
      <x:c r="H4" s="43"/>
      <x:c r="I4" s="39"/>
      <x:c r="J4" s="39"/>
      <x:c r="K4" s="39"/>
      <x:c r="L4" s="39"/>
      <x:c r="M4" s="39"/>
      <x:c r="N4" s="39"/>
      <x:c r="O4" s="39"/>
      <x:c r="P4" s="39"/>
      <x:c r="Q4" s="39"/>
      <x:c r="R4" s="39"/>
      <x:c r="S4" s="39"/>
      <x:c r="T4" s="39"/>
      <x:c r="U4" s="39"/>
      <x:c r="V4" s="39"/>
      <x:c r="W4" s="39"/>
      <x:c r="X4" s="39"/>
      <x:c r="Y4" s="39"/>
      <x:c r="Z4" s="39"/>
    </x:row>
    <x:row r="5">
      <x:c r="A5" s="43"/>
      <x:c r="B5" s="43"/>
      <x:c r="C5" s="43"/>
      <x:c r="D5" s="43"/>
      <x:c r="E5" s="43"/>
      <x:c r="F5" s="43"/>
      <x:c r="G5" s="43"/>
      <x:c r="H5" s="43"/>
      <x:c r="I5" s="39"/>
      <x:c r="J5" s="39"/>
      <x:c r="K5" s="39"/>
      <x:c r="L5" s="39"/>
      <x:c r="M5" s="39"/>
      <x:c r="N5" s="39"/>
      <x:c r="O5" s="39"/>
      <x:c r="P5" s="39"/>
      <x:c r="Q5" s="39"/>
      <x:c r="R5" s="39"/>
      <x:c r="S5" s="39"/>
      <x:c r="T5" s="39"/>
      <x:c r="U5" s="39"/>
      <x:c r="V5" s="39"/>
      <x:c r="W5" s="39"/>
      <x:c r="X5" s="39"/>
      <x:c r="Y5" s="39"/>
      <x:c r="Z5" s="39"/>
    </x:row>
    <x:row r="6">
      <x:c r="A6" s="43"/>
      <x:c r="B6" s="43"/>
      <x:c r="C6" s="43"/>
      <x:c r="D6" s="43"/>
      <x:c r="E6" s="43"/>
      <x:c r="F6" s="43"/>
      <x:c r="G6" s="43"/>
      <x:c r="H6" s="43"/>
      <x:c r="I6" s="39"/>
      <x:c r="J6" s="39"/>
      <x:c r="K6" s="39"/>
      <x:c r="L6" s="39"/>
      <x:c r="M6" s="39"/>
      <x:c r="N6" s="39"/>
      <x:c r="O6" s="39"/>
      <x:c r="P6" s="39"/>
      <x:c r="Q6" s="39"/>
      <x:c r="R6" s="39"/>
      <x:c r="S6" s="39"/>
      <x:c r="T6" s="39"/>
      <x:c r="U6" s="39"/>
      <x:c r="V6" s="39"/>
      <x:c r="W6" s="39"/>
      <x:c r="X6" s="39"/>
      <x:c r="Y6" s="39"/>
      <x:c r="Z6" s="39"/>
    </x:row>
    <x:row r="7">
      <x:c r="A7" s="43"/>
      <x:c r="B7" s="43"/>
      <x:c r="C7" s="43"/>
      <x:c r="D7" s="43"/>
      <x:c r="E7" s="43"/>
      <x:c r="F7" s="43"/>
      <x:c r="G7" s="43"/>
      <x:c r="H7" s="43"/>
      <x:c r="I7" s="39"/>
      <x:c r="J7" s="39"/>
      <x:c r="K7" s="39"/>
      <x:c r="L7" s="39"/>
      <x:c r="M7" s="39"/>
      <x:c r="N7" s="39"/>
      <x:c r="O7" s="39"/>
      <x:c r="P7" s="39"/>
      <x:c r="Q7" s="39"/>
      <x:c r="R7" s="39"/>
      <x:c r="S7" s="39"/>
      <x:c r="T7" s="39"/>
      <x:c r="U7" s="39"/>
      <x:c r="V7" s="39"/>
      <x:c r="W7" s="39"/>
      <x:c r="X7" s="39"/>
      <x:c r="Y7" s="39"/>
      <x:c r="Z7" s="39"/>
    </x:row>
    <x:row r="8">
      <x:c r="A8" s="43"/>
      <x:c r="B8" s="43"/>
      <x:c r="C8" s="43"/>
      <x:c r="D8" s="43"/>
      <x:c r="E8" s="43"/>
      <x:c r="F8" s="43"/>
      <x:c r="G8" s="43"/>
      <x:c r="H8" s="43"/>
      <x:c r="I8" s="39"/>
      <x:c r="J8" s="39"/>
      <x:c r="K8" s="39"/>
      <x:c r="L8" s="39"/>
      <x:c r="M8" s="39"/>
      <x:c r="N8" s="39"/>
      <x:c r="O8" s="39"/>
      <x:c r="P8" s="39"/>
      <x:c r="Q8" s="39"/>
      <x:c r="R8" s="39"/>
      <x:c r="S8" s="39"/>
      <x:c r="T8" s="39"/>
      <x:c r="U8" s="39"/>
      <x:c r="V8" s="39"/>
      <x:c r="W8" s="39"/>
      <x:c r="X8" s="39"/>
      <x:c r="Y8" s="39"/>
      <x:c r="Z8" s="39"/>
    </x:row>
    <x:row r="9">
      <x:c r="A9" s="43"/>
      <x:c r="B9" s="43"/>
      <x:c r="C9" s="43"/>
      <x:c r="D9" s="43"/>
      <x:c r="E9" s="43"/>
      <x:c r="F9" s="43"/>
      <x:c r="G9" s="43"/>
      <x:c r="H9" s="43"/>
      <x:c r="I9" s="39"/>
      <x:c r="J9" s="39"/>
      <x:c r="K9" s="39"/>
      <x:c r="L9" s="39"/>
      <x:c r="M9" s="39"/>
      <x:c r="N9" s="39"/>
      <x:c r="O9" s="39"/>
      <x:c r="P9" s="39"/>
      <x:c r="Q9" s="39"/>
      <x:c r="R9" s="39"/>
      <x:c r="S9" s="39"/>
      <x:c r="T9" s="39"/>
      <x:c r="U9" s="39"/>
      <x:c r="V9" s="39"/>
      <x:c r="W9" s="39"/>
      <x:c r="X9" s="39"/>
      <x:c r="Y9" s="39"/>
      <x:c r="Z9" s="39"/>
    </x:row>
    <x:row r="10">
      <x:c r="A10" s="43"/>
      <x:c r="B10" s="43"/>
      <x:c r="C10" s="43"/>
      <x:c r="D10" s="43"/>
      <x:c r="E10" s="43"/>
      <x:c r="F10" s="43"/>
      <x:c r="G10" s="43"/>
      <x:c r="H10" s="43"/>
      <x:c r="I10" s="39"/>
      <x:c r="J10" s="39"/>
      <x:c r="K10" s="39"/>
      <x:c r="L10" s="39"/>
      <x:c r="M10" s="39"/>
      <x:c r="N10" s="39"/>
      <x:c r="O10" s="39"/>
      <x:c r="P10" s="39"/>
      <x:c r="Q10" s="39"/>
      <x:c r="R10" s="39"/>
      <x:c r="S10" s="39"/>
      <x:c r="T10" s="39"/>
      <x:c r="U10" s="39"/>
      <x:c r="V10" s="39"/>
      <x:c r="W10" s="39"/>
      <x:c r="X10" s="39"/>
      <x:c r="Y10" s="39"/>
      <x:c r="Z10" s="39"/>
    </x:row>
    <x:row r="11">
      <x:c r="A11" s="43"/>
      <x:c r="B11" s="43"/>
      <x:c r="C11" s="43"/>
      <x:c r="D11" s="43"/>
      <x:c r="E11" s="43"/>
      <x:c r="F11" s="43"/>
      <x:c r="G11" s="43"/>
      <x:c r="H11" s="43"/>
      <x:c r="I11" s="39"/>
      <x:c r="J11" s="39"/>
      <x:c r="K11" s="39"/>
      <x:c r="L11" s="39"/>
      <x:c r="M11" s="39"/>
      <x:c r="N11" s="39"/>
      <x:c r="O11" s="39"/>
      <x:c r="P11" s="39"/>
      <x:c r="Q11" s="39"/>
      <x:c r="R11" s="39"/>
      <x:c r="S11" s="39"/>
      <x:c r="T11" s="39"/>
      <x:c r="U11" s="39"/>
      <x:c r="V11" s="39"/>
      <x:c r="W11" s="39"/>
      <x:c r="X11" s="39"/>
      <x:c r="Y11" s="39"/>
      <x:c r="Z11" s="39"/>
    </x:row>
    <x:row r="12">
      <x:c r="A12" s="43"/>
      <x:c r="B12" s="43"/>
      <x:c r="C12" s="43"/>
      <x:c r="D12" s="43"/>
      <x:c r="E12" s="43"/>
      <x:c r="F12" s="43"/>
      <x:c r="G12" s="43"/>
      <x:c r="H12" s="43"/>
      <x:c r="I12" s="39"/>
      <x:c r="J12" s="39"/>
      <x:c r="K12" s="39"/>
      <x:c r="L12" s="39"/>
      <x:c r="M12" s="39"/>
      <x:c r="N12" s="39"/>
      <x:c r="O12" s="39"/>
      <x:c r="P12" s="39"/>
      <x:c r="Q12" s="39"/>
      <x:c r="R12" s="39"/>
      <x:c r="S12" s="39"/>
      <x:c r="T12" s="39"/>
      <x:c r="U12" s="39"/>
      <x:c r="V12" s="39"/>
      <x:c r="W12" s="39"/>
      <x:c r="X12" s="39"/>
      <x:c r="Y12" s="39"/>
      <x:c r="Z12" s="39"/>
    </x:row>
    <x:row r="13">
      <x:c r="A13" s="43"/>
      <x:c r="B13" s="43"/>
      <x:c r="C13" s="43"/>
      <x:c r="D13" s="43"/>
      <x:c r="E13" s="43"/>
      <x:c r="F13" s="43"/>
      <x:c r="G13" s="43"/>
      <x:c r="H13" s="43"/>
      <x:c r="I13" s="39"/>
      <x:c r="J13" s="39"/>
      <x:c r="K13" s="39"/>
      <x:c r="L13" s="39"/>
      <x:c r="M13" s="39"/>
      <x:c r="N13" s="39"/>
      <x:c r="O13" s="39"/>
      <x:c r="P13" s="39"/>
      <x:c r="Q13" s="39"/>
      <x:c r="R13" s="39"/>
      <x:c r="S13" s="39"/>
      <x:c r="T13" s="39"/>
      <x:c r="U13" s="39"/>
      <x:c r="V13" s="39"/>
      <x:c r="W13" s="39"/>
      <x:c r="X13" s="39"/>
      <x:c r="Y13" s="39"/>
      <x:c r="Z13" s="39"/>
    </x:row>
    <x:row r="14">
      <x:c r="A14" s="43"/>
      <x:c r="B14" s="43"/>
      <x:c r="C14" s="43"/>
      <x:c r="D14" s="43"/>
      <x:c r="E14" s="43"/>
      <x:c r="F14" s="43"/>
      <x:c r="G14" s="43"/>
      <x:c r="H14" s="43"/>
      <x:c r="I14" s="39"/>
      <x:c r="J14" s="39"/>
      <x:c r="K14" s="39"/>
      <x:c r="L14" s="39"/>
      <x:c r="M14" s="39"/>
      <x:c r="N14" s="39"/>
      <x:c r="O14" s="39"/>
      <x:c r="P14" s="39"/>
      <x:c r="Q14" s="39"/>
      <x:c r="R14" s="39"/>
      <x:c r="S14" s="39"/>
      <x:c r="T14" s="39"/>
      <x:c r="U14" s="39"/>
      <x:c r="V14" s="39"/>
      <x:c r="W14" s="39"/>
      <x:c r="X14" s="39"/>
      <x:c r="Y14" s="39"/>
      <x:c r="Z14" s="39"/>
    </x:row>
    <x:row r="15">
      <x:c r="A15" s="43"/>
      <x:c r="B15" s="43"/>
      <x:c r="C15" s="43"/>
      <x:c r="D15" s="43"/>
      <x:c r="E15" s="43"/>
      <x:c r="F15" s="43"/>
      <x:c r="G15" s="43"/>
      <x:c r="H15" s="43"/>
      <x:c r="I15" s="39"/>
      <x:c r="J15" s="39"/>
      <x:c r="K15" s="39"/>
      <x:c r="L15" s="39"/>
      <x:c r="M15" s="39"/>
      <x:c r="N15" s="39"/>
      <x:c r="O15" s="39"/>
      <x:c r="P15" s="39"/>
      <x:c r="Q15" s="39"/>
      <x:c r="R15" s="39"/>
      <x:c r="S15" s="39"/>
      <x:c r="T15" s="39"/>
      <x:c r="U15" s="39"/>
      <x:c r="V15" s="39"/>
      <x:c r="W15" s="39"/>
      <x:c r="X15" s="39"/>
      <x:c r="Y15" s="39"/>
      <x:c r="Z15" s="39"/>
    </x:row>
    <x:row r="16">
      <x:c r="A16" s="43"/>
      <x:c r="B16" s="43"/>
      <x:c r="C16" s="43"/>
      <x:c r="D16" s="43"/>
      <x:c r="E16" s="43"/>
      <x:c r="F16" s="43"/>
      <x:c r="G16" s="43"/>
      <x:c r="H16" s="43"/>
      <x:c r="I16" s="39"/>
      <x:c r="J16" s="39"/>
      <x:c r="K16" s="39"/>
      <x:c r="L16" s="39"/>
      <x:c r="M16" s="39"/>
      <x:c r="N16" s="39"/>
      <x:c r="O16" s="39"/>
      <x:c r="P16" s="39"/>
      <x:c r="Q16" s="39"/>
      <x:c r="R16" s="39"/>
      <x:c r="S16" s="39"/>
      <x:c r="T16" s="39"/>
      <x:c r="U16" s="39"/>
      <x:c r="V16" s="39"/>
      <x:c r="W16" s="39"/>
      <x:c r="X16" s="39"/>
      <x:c r="Y16" s="39"/>
      <x:c r="Z16" s="39"/>
    </x:row>
    <x:row r="17">
      <x:c r="A17" s="43"/>
      <x:c r="B17" s="43"/>
      <x:c r="C17" s="43"/>
      <x:c r="D17" s="43"/>
      <x:c r="E17" s="43"/>
      <x:c r="F17" s="43"/>
      <x:c r="G17" s="43"/>
      <x:c r="H17" s="43"/>
      <x:c r="I17" s="39"/>
      <x:c r="J17" s="39"/>
      <x:c r="K17" s="39"/>
      <x:c r="L17" s="39"/>
      <x:c r="M17" s="39"/>
      <x:c r="N17" s="39"/>
      <x:c r="O17" s="39"/>
      <x:c r="P17" s="39"/>
      <x:c r="Q17" s="39"/>
      <x:c r="R17" s="39"/>
      <x:c r="S17" s="39"/>
      <x:c r="T17" s="39"/>
      <x:c r="U17" s="39"/>
      <x:c r="V17" s="39"/>
      <x:c r="W17" s="39"/>
      <x:c r="X17" s="39"/>
      <x:c r="Y17" s="39"/>
      <x:c r="Z17" s="39"/>
    </x:row>
    <x:row r="18">
      <x:c r="A18" s="43"/>
      <x:c r="B18" s="43"/>
      <x:c r="C18" s="43"/>
      <x:c r="D18" s="43"/>
      <x:c r="E18" s="43"/>
      <x:c r="F18" s="43"/>
      <x:c r="G18" s="43"/>
      <x:c r="H18" s="43"/>
      <x:c r="I18" s="39"/>
      <x:c r="J18" s="39"/>
      <x:c r="K18" s="39"/>
      <x:c r="L18" s="39"/>
      <x:c r="M18" s="39"/>
      <x:c r="N18" s="39"/>
      <x:c r="O18" s="39"/>
      <x:c r="P18" s="39"/>
      <x:c r="Q18" s="39"/>
      <x:c r="R18" s="39"/>
      <x:c r="S18" s="39"/>
      <x:c r="T18" s="39"/>
      <x:c r="U18" s="39"/>
      <x:c r="V18" s="39"/>
      <x:c r="W18" s="39"/>
      <x:c r="X18" s="39"/>
      <x:c r="Y18" s="39"/>
      <x:c r="Z18" s="39"/>
    </x:row>
    <x:row r="19">
      <x:c r="A19" s="43"/>
      <x:c r="B19" s="43"/>
      <x:c r="C19" s="43"/>
      <x:c r="D19" s="43"/>
      <x:c r="E19" s="43"/>
      <x:c r="F19" s="43"/>
      <x:c r="G19" s="43"/>
      <x:c r="H19" s="43"/>
      <x:c r="I19" s="39"/>
      <x:c r="J19" s="39"/>
      <x:c r="K19" s="39"/>
      <x:c r="L19" s="39"/>
      <x:c r="M19" s="39"/>
      <x:c r="N19" s="39"/>
      <x:c r="O19" s="39"/>
      <x:c r="P19" s="39"/>
      <x:c r="Q19" s="39"/>
      <x:c r="R19" s="39"/>
      <x:c r="S19" s="39"/>
      <x:c r="T19" s="39"/>
      <x:c r="U19" s="39"/>
      <x:c r="V19" s="39"/>
      <x:c r="W19" s="39"/>
      <x:c r="X19" s="39"/>
      <x:c r="Y19" s="39"/>
      <x:c r="Z19" s="39"/>
    </x:row>
    <x:row r="20">
      <x:c r="A20" s="43"/>
      <x:c r="B20" s="43"/>
      <x:c r="C20" s="43"/>
      <x:c r="D20" s="43"/>
      <x:c r="E20" s="43"/>
      <x:c r="F20" s="43"/>
      <x:c r="G20" s="43"/>
      <x:c r="H20" s="43"/>
      <x:c r="I20" s="39"/>
      <x:c r="J20" s="39"/>
      <x:c r="K20" s="39"/>
      <x:c r="L20" s="39"/>
      <x:c r="M20" s="39"/>
      <x:c r="N20" s="39"/>
      <x:c r="O20" s="39"/>
      <x:c r="P20" s="39"/>
      <x:c r="Q20" s="39"/>
      <x:c r="R20" s="39"/>
      <x:c r="S20" s="39"/>
      <x:c r="T20" s="39"/>
      <x:c r="U20" s="39"/>
      <x:c r="V20" s="39"/>
      <x:c r="W20" s="39"/>
      <x:c r="X20" s="39"/>
      <x:c r="Y20" s="39"/>
      <x:c r="Z20" s="39"/>
    </x:row>
    <x:row r="21">
      <x:c r="A21" s="43"/>
      <x:c r="B21" s="43"/>
      <x:c r="C21" s="43"/>
      <x:c r="D21" s="43"/>
      <x:c r="E21" s="43"/>
      <x:c r="F21" s="43"/>
      <x:c r="G21" s="43"/>
      <x:c r="H21" s="43"/>
      <x:c r="I21" s="39"/>
      <x:c r="J21" s="39"/>
      <x:c r="K21" s="39"/>
      <x:c r="L21" s="39"/>
      <x:c r="M21" s="39"/>
      <x:c r="N21" s="39"/>
      <x:c r="O21" s="39"/>
      <x:c r="P21" s="39"/>
      <x:c r="Q21" s="39"/>
      <x:c r="R21" s="39"/>
      <x:c r="S21" s="39"/>
      <x:c r="T21" s="39"/>
      <x:c r="U21" s="39"/>
      <x:c r="V21" s="39"/>
      <x:c r="W21" s="39"/>
      <x:c r="X21" s="39"/>
      <x:c r="Y21" s="39"/>
      <x:c r="Z21" s="39"/>
    </x:row>
    <x:row r="22">
      <x:c r="A22" s="43"/>
      <x:c r="B22" s="43"/>
      <x:c r="C22" s="43"/>
      <x:c r="D22" s="43"/>
      <x:c r="E22" s="43"/>
      <x:c r="F22" s="43"/>
      <x:c r="G22" s="43"/>
      <x:c r="H22" s="43"/>
      <x:c r="I22" s="39"/>
      <x:c r="J22" s="39"/>
      <x:c r="K22" s="39"/>
      <x:c r="L22" s="39"/>
      <x:c r="M22" s="39"/>
      <x:c r="N22" s="39"/>
      <x:c r="O22" s="39"/>
      <x:c r="P22" s="39"/>
      <x:c r="Q22" s="39"/>
      <x:c r="R22" s="39"/>
      <x:c r="S22" s="39"/>
      <x:c r="T22" s="39"/>
      <x:c r="U22" s="39"/>
      <x:c r="V22" s="39"/>
      <x:c r="W22" s="39"/>
      <x:c r="X22" s="39"/>
      <x:c r="Y22" s="39"/>
      <x:c r="Z22" s="39"/>
    </x:row>
    <x:row r="23">
      <x:c r="A23" s="43"/>
      <x:c r="B23" s="43"/>
      <x:c r="C23" s="43"/>
      <x:c r="D23" s="43"/>
      <x:c r="E23" s="43"/>
      <x:c r="F23" s="43"/>
      <x:c r="G23" s="43"/>
      <x:c r="H23" s="43"/>
      <x:c r="I23" s="39"/>
      <x:c r="J23" s="39"/>
      <x:c r="K23" s="39"/>
      <x:c r="L23" s="39"/>
      <x:c r="M23" s="39"/>
      <x:c r="N23" s="39"/>
      <x:c r="O23" s="39"/>
      <x:c r="P23" s="39"/>
      <x:c r="Q23" s="39"/>
      <x:c r="R23" s="39"/>
      <x:c r="S23" s="39"/>
      <x:c r="T23" s="39"/>
      <x:c r="U23" s="39"/>
      <x:c r="V23" s="39"/>
      <x:c r="W23" s="39"/>
      <x:c r="X23" s="39"/>
      <x:c r="Y23" s="39"/>
      <x:c r="Z23" s="39"/>
    </x:row>
    <x:row r="24">
      <x:c r="A24" s="43"/>
      <x:c r="B24" s="43"/>
      <x:c r="C24" s="43"/>
      <x:c r="D24" s="43"/>
      <x:c r="E24" s="43"/>
      <x:c r="F24" s="43"/>
      <x:c r="G24" s="43"/>
      <x:c r="H24" s="43"/>
      <x:c r="I24" s="39"/>
      <x:c r="J24" s="39"/>
      <x:c r="K24" s="39"/>
      <x:c r="L24" s="39"/>
      <x:c r="M24" s="39"/>
      <x:c r="N24" s="39"/>
      <x:c r="O24" s="39"/>
      <x:c r="P24" s="39"/>
      <x:c r="Q24" s="39"/>
      <x:c r="R24" s="39"/>
      <x:c r="S24" s="39"/>
      <x:c r="T24" s="39"/>
      <x:c r="U24" s="39"/>
      <x:c r="V24" s="39"/>
      <x:c r="W24" s="39"/>
      <x:c r="X24" s="39"/>
      <x:c r="Y24" s="39"/>
      <x:c r="Z24" s="39"/>
    </x:row>
    <x:row r="25">
      <x:c r="A25" s="43"/>
      <x:c r="B25" s="43"/>
      <x:c r="C25" s="43"/>
      <x:c r="D25" s="43"/>
      <x:c r="E25" s="43"/>
      <x:c r="F25" s="43"/>
      <x:c r="G25" s="43"/>
      <x:c r="H25" s="43"/>
      <x:c r="I25" s="39"/>
      <x:c r="J25" s="39"/>
      <x:c r="K25" s="39"/>
      <x:c r="L25" s="39"/>
      <x:c r="M25" s="39"/>
      <x:c r="N25" s="39"/>
      <x:c r="O25" s="39"/>
      <x:c r="P25" s="39"/>
      <x:c r="Q25" s="39"/>
      <x:c r="R25" s="39"/>
      <x:c r="S25" s="39"/>
      <x:c r="T25" s="39"/>
      <x:c r="U25" s="39"/>
      <x:c r="V25" s="39"/>
      <x:c r="W25" s="39"/>
      <x:c r="X25" s="39"/>
      <x:c r="Y25" s="39"/>
      <x:c r="Z25" s="39"/>
    </x:row>
    <x:row r="26">
      <x:c r="A26" s="43"/>
      <x:c r="B26" s="43"/>
      <x:c r="C26" s="43"/>
      <x:c r="D26" s="43"/>
      <x:c r="E26" s="43"/>
      <x:c r="F26" s="43"/>
      <x:c r="G26" s="43"/>
      <x:c r="H26" s="43"/>
      <x:c r="I26" s="39"/>
      <x:c r="J26" s="39"/>
      <x:c r="K26" s="39"/>
      <x:c r="L26" s="39"/>
      <x:c r="M26" s="39"/>
      <x:c r="N26" s="39"/>
      <x:c r="O26" s="39"/>
      <x:c r="P26" s="39"/>
      <x:c r="Q26" s="39"/>
      <x:c r="R26" s="39"/>
      <x:c r="S26" s="39"/>
      <x:c r="T26" s="39"/>
      <x:c r="U26" s="39"/>
      <x:c r="V26" s="39"/>
      <x:c r="W26" s="39"/>
      <x:c r="X26" s="39"/>
      <x:c r="Y26" s="39"/>
      <x:c r="Z26" s="39"/>
    </x:row>
    <x:row r="27">
      <x:c r="A27" s="43"/>
      <x:c r="B27" s="43"/>
      <x:c r="C27" s="43"/>
      <x:c r="D27" s="43"/>
      <x:c r="E27" s="43"/>
      <x:c r="F27" s="43"/>
      <x:c r="G27" s="43"/>
      <x:c r="H27" s="43"/>
      <x:c r="I27" s="39"/>
      <x:c r="J27" s="39"/>
      <x:c r="K27" s="39"/>
      <x:c r="L27" s="39"/>
      <x:c r="M27" s="39"/>
      <x:c r="N27" s="39"/>
      <x:c r="O27" s="39"/>
      <x:c r="P27" s="39"/>
      <x:c r="Q27" s="39"/>
      <x:c r="R27" s="39"/>
      <x:c r="S27" s="39"/>
      <x:c r="T27" s="39"/>
      <x:c r="U27" s="39"/>
      <x:c r="V27" s="39"/>
      <x:c r="W27" s="39"/>
      <x:c r="X27" s="39"/>
      <x:c r="Y27" s="39"/>
      <x:c r="Z27" s="39"/>
    </x:row>
    <x:row r="28">
      <x:c r="A28" s="43"/>
      <x:c r="B28" s="43"/>
      <x:c r="C28" s="43"/>
      <x:c r="D28" s="43"/>
      <x:c r="E28" s="43"/>
      <x:c r="F28" s="43"/>
      <x:c r="G28" s="43"/>
      <x:c r="H28" s="43"/>
      <x:c r="I28" s="39"/>
      <x:c r="J28" s="39"/>
      <x:c r="K28" s="39"/>
      <x:c r="L28" s="39"/>
      <x:c r="M28" s="39"/>
      <x:c r="N28" s="39"/>
      <x:c r="O28" s="39"/>
      <x:c r="P28" s="39"/>
      <x:c r="Q28" s="39"/>
      <x:c r="R28" s="39"/>
      <x:c r="S28" s="39"/>
      <x:c r="T28" s="39"/>
      <x:c r="U28" s="39"/>
      <x:c r="V28" s="39"/>
      <x:c r="W28" s="39"/>
      <x:c r="X28" s="39"/>
      <x:c r="Y28" s="39"/>
      <x:c r="Z28" s="39"/>
    </x:row>
    <x:row r="29">
      <x:c r="A29" s="43"/>
      <x:c r="B29" s="43"/>
      <x:c r="C29" s="43"/>
      <x:c r="D29" s="43"/>
      <x:c r="E29" s="43"/>
      <x:c r="F29" s="43"/>
      <x:c r="G29" s="43"/>
      <x:c r="H29" s="43"/>
      <x:c r="I29" s="39"/>
      <x:c r="J29" s="39"/>
      <x:c r="K29" s="39"/>
      <x:c r="L29" s="39"/>
      <x:c r="M29" s="39"/>
      <x:c r="N29" s="39"/>
      <x:c r="O29" s="39"/>
      <x:c r="P29" s="39"/>
      <x:c r="Q29" s="39"/>
      <x:c r="R29" s="39"/>
      <x:c r="S29" s="39"/>
      <x:c r="T29" s="39"/>
      <x:c r="U29" s="39"/>
      <x:c r="V29" s="39"/>
      <x:c r="W29" s="39"/>
      <x:c r="X29" s="39"/>
      <x:c r="Y29" s="39"/>
      <x:c r="Z29" s="39"/>
    </x:row>
    <x:row r="30">
      <x:c r="A30" s="43"/>
      <x:c r="B30" s="43"/>
      <x:c r="C30" s="43"/>
      <x:c r="D30" s="43"/>
      <x:c r="E30" s="43"/>
      <x:c r="F30" s="43"/>
      <x:c r="G30" s="43"/>
      <x:c r="H30" s="43"/>
      <x:c r="I30" s="39"/>
      <x:c r="J30" s="39"/>
      <x:c r="K30" s="39"/>
      <x:c r="L30" s="39"/>
      <x:c r="M30" s="39"/>
      <x:c r="N30" s="39"/>
      <x:c r="O30" s="39"/>
      <x:c r="P30" s="39"/>
      <x:c r="Q30" s="39"/>
      <x:c r="R30" s="39"/>
      <x:c r="S30" s="39"/>
      <x:c r="T30" s="39"/>
      <x:c r="U30" s="39"/>
      <x:c r="V30" s="39"/>
      <x:c r="W30" s="39"/>
      <x:c r="X30" s="39"/>
      <x:c r="Y30" s="39"/>
      <x:c r="Z30" s="39"/>
    </x:row>
    <x:row r="31">
      <x:c r="A31" s="43"/>
      <x:c r="B31" s="43"/>
      <x:c r="C31" s="43"/>
      <x:c r="D31" s="43"/>
      <x:c r="E31" s="43"/>
      <x:c r="F31" s="43"/>
      <x:c r="G31" s="43"/>
      <x:c r="H31" s="43"/>
      <x:c r="I31" s="39"/>
      <x:c r="J31" s="39"/>
      <x:c r="K31" s="39"/>
      <x:c r="L31" s="39"/>
      <x:c r="M31" s="39"/>
      <x:c r="N31" s="39"/>
      <x:c r="O31" s="39"/>
      <x:c r="P31" s="39"/>
      <x:c r="Q31" s="39"/>
      <x:c r="R31" s="39"/>
      <x:c r="S31" s="39"/>
      <x:c r="T31" s="39"/>
      <x:c r="U31" s="39"/>
      <x:c r="V31" s="39"/>
      <x:c r="W31" s="39"/>
      <x:c r="X31" s="39"/>
      <x:c r="Y31" s="39"/>
      <x:c r="Z31" s="39"/>
    </x:row>
    <x:row r="32">
      <x:c r="A32" s="43"/>
      <x:c r="B32" s="43"/>
      <x:c r="C32" s="43"/>
      <x:c r="D32" s="43"/>
      <x:c r="E32" s="43"/>
      <x:c r="F32" s="43"/>
      <x:c r="G32" s="43"/>
      <x:c r="H32" s="43"/>
      <x:c r="I32" s="39"/>
      <x:c r="J32" s="39"/>
      <x:c r="K32" s="39"/>
      <x:c r="L32" s="39"/>
      <x:c r="M32" s="39"/>
      <x:c r="N32" s="39"/>
      <x:c r="O32" s="39"/>
      <x:c r="P32" s="39"/>
      <x:c r="Q32" s="39"/>
      <x:c r="R32" s="39"/>
      <x:c r="S32" s="39"/>
      <x:c r="T32" s="39"/>
      <x:c r="U32" s="39"/>
      <x:c r="V32" s="39"/>
      <x:c r="W32" s="39"/>
      <x:c r="X32" s="39"/>
      <x:c r="Y32" s="39"/>
      <x:c r="Z32" s="39"/>
    </x:row>
    <x:row r="33">
      <x:c r="A33" s="43"/>
      <x:c r="B33" s="43"/>
      <x:c r="C33" s="43"/>
      <x:c r="D33" s="43"/>
      <x:c r="E33" s="43"/>
      <x:c r="F33" s="43"/>
      <x:c r="G33" s="43"/>
      <x:c r="H33" s="43"/>
      <x:c r="I33" s="39"/>
      <x:c r="J33" s="39"/>
      <x:c r="K33" s="39"/>
      <x:c r="L33" s="39"/>
      <x:c r="M33" s="39"/>
      <x:c r="N33" s="39"/>
      <x:c r="O33" s="39"/>
      <x:c r="P33" s="39"/>
      <x:c r="Q33" s="39"/>
      <x:c r="R33" s="39"/>
      <x:c r="S33" s="39"/>
      <x:c r="T33" s="39"/>
      <x:c r="U33" s="39"/>
      <x:c r="V33" s="39"/>
      <x:c r="W33" s="39"/>
      <x:c r="X33" s="39"/>
      <x:c r="Y33" s="39"/>
      <x:c r="Z33" s="39"/>
    </x:row>
    <x:row r="34">
      <x:c r="A34" s="43"/>
      <x:c r="B34" s="43"/>
      <x:c r="C34" s="43"/>
      <x:c r="D34" s="43"/>
      <x:c r="E34" s="43"/>
      <x:c r="F34" s="43"/>
      <x:c r="G34" s="43"/>
      <x:c r="H34" s="43"/>
      <x:c r="I34" s="39"/>
      <x:c r="J34" s="39"/>
      <x:c r="K34" s="39"/>
      <x:c r="L34" s="39"/>
      <x:c r="M34" s="39"/>
      <x:c r="N34" s="39"/>
      <x:c r="O34" s="39"/>
      <x:c r="P34" s="39"/>
      <x:c r="Q34" s="39"/>
      <x:c r="R34" s="39"/>
      <x:c r="S34" s="39"/>
      <x:c r="T34" s="39"/>
      <x:c r="U34" s="39"/>
      <x:c r="V34" s="39"/>
      <x:c r="W34" s="39"/>
      <x:c r="X34" s="39"/>
      <x:c r="Y34" s="39"/>
      <x:c r="Z34" s="39"/>
    </x:row>
    <x:row r="35">
      <x:c r="A35" s="43"/>
      <x:c r="B35" s="43"/>
      <x:c r="C35" s="43"/>
      <x:c r="D35" s="43"/>
      <x:c r="E35" s="43"/>
      <x:c r="F35" s="43"/>
      <x:c r="G35" s="43"/>
      <x:c r="H35" s="43"/>
      <x:c r="I35" s="39"/>
      <x:c r="J35" s="39"/>
      <x:c r="K35" s="39"/>
      <x:c r="L35" s="39"/>
      <x:c r="M35" s="39"/>
      <x:c r="N35" s="39"/>
      <x:c r="O35" s="39"/>
      <x:c r="P35" s="39"/>
      <x:c r="Q35" s="39"/>
      <x:c r="R35" s="39"/>
      <x:c r="S35" s="39"/>
      <x:c r="T35" s="39"/>
      <x:c r="U35" s="39"/>
      <x:c r="V35" s="39"/>
      <x:c r="W35" s="39"/>
      <x:c r="X35" s="39"/>
      <x:c r="Y35" s="39"/>
      <x:c r="Z35" s="39"/>
    </x:row>
    <x:row r="36">
      <x:c r="A36" s="43"/>
      <x:c r="B36" s="43"/>
      <x:c r="C36" s="43"/>
      <x:c r="D36" s="43"/>
      <x:c r="E36" s="43"/>
      <x:c r="F36" s="43"/>
      <x:c r="G36" s="43"/>
      <x:c r="H36" s="43"/>
      <x:c r="I36" s="39"/>
      <x:c r="J36" s="39"/>
      <x:c r="K36" s="39"/>
      <x:c r="L36" s="39"/>
      <x:c r="M36" s="39"/>
      <x:c r="N36" s="39"/>
      <x:c r="O36" s="39"/>
      <x:c r="P36" s="39"/>
      <x:c r="Q36" s="39"/>
      <x:c r="R36" s="39"/>
      <x:c r="S36" s="39"/>
      <x:c r="T36" s="39"/>
      <x:c r="U36" s="39"/>
      <x:c r="V36" s="39"/>
      <x:c r="W36" s="39"/>
      <x:c r="X36" s="39"/>
      <x:c r="Y36" s="39"/>
      <x:c r="Z36" s="39"/>
    </x:row>
    <x:row r="37">
      <x:c r="A37" s="43"/>
      <x:c r="B37" s="43"/>
      <x:c r="C37" s="43"/>
      <x:c r="D37" s="43"/>
      <x:c r="E37" s="43"/>
      <x:c r="F37" s="43"/>
      <x:c r="G37" s="43"/>
      <x:c r="H37" s="43"/>
      <x:c r="I37" s="39"/>
      <x:c r="J37" s="39"/>
      <x:c r="K37" s="39"/>
      <x:c r="L37" s="39"/>
      <x:c r="M37" s="39"/>
      <x:c r="N37" s="39"/>
      <x:c r="O37" s="39"/>
      <x:c r="P37" s="39"/>
      <x:c r="Q37" s="39"/>
      <x:c r="R37" s="39"/>
      <x:c r="S37" s="39"/>
      <x:c r="T37" s="39"/>
      <x:c r="U37" s="39"/>
      <x:c r="V37" s="39"/>
      <x:c r="W37" s="39"/>
      <x:c r="X37" s="39"/>
      <x:c r="Y37" s="39"/>
      <x:c r="Z37" s="39"/>
    </x:row>
    <x:row r="38">
      <x:c r="A38" s="43"/>
      <x:c r="B38" s="43"/>
      <x:c r="C38" s="43"/>
      <x:c r="D38" s="43"/>
      <x:c r="E38" s="43"/>
      <x:c r="F38" s="43"/>
      <x:c r="G38" s="43"/>
      <x:c r="H38" s="43"/>
      <x:c r="I38" s="39"/>
      <x:c r="J38" s="39"/>
      <x:c r="K38" s="39"/>
      <x:c r="L38" s="39"/>
      <x:c r="M38" s="39"/>
      <x:c r="N38" s="39"/>
      <x:c r="O38" s="39"/>
      <x:c r="P38" s="39"/>
      <x:c r="Q38" s="39"/>
      <x:c r="R38" s="39"/>
      <x:c r="S38" s="39"/>
      <x:c r="T38" s="39"/>
      <x:c r="U38" s="39"/>
      <x:c r="V38" s="39"/>
      <x:c r="W38" s="39"/>
      <x:c r="X38" s="39"/>
      <x:c r="Y38" s="39"/>
      <x:c r="Z38" s="39"/>
    </x:row>
    <x:row r="39">
      <x:c r="A39" s="43"/>
      <x:c r="B39" s="43"/>
      <x:c r="C39" s="43"/>
      <x:c r="D39" s="43"/>
      <x:c r="E39" s="43"/>
      <x:c r="F39" s="43"/>
      <x:c r="G39" s="43"/>
      <x:c r="H39" s="43"/>
      <x:c r="I39" s="39"/>
      <x:c r="J39" s="39"/>
      <x:c r="K39" s="39"/>
      <x:c r="L39" s="39"/>
      <x:c r="M39" s="39"/>
      <x:c r="N39" s="39"/>
      <x:c r="O39" s="39"/>
      <x:c r="P39" s="39"/>
      <x:c r="Q39" s="39"/>
      <x:c r="R39" s="39"/>
      <x:c r="S39" s="39"/>
      <x:c r="T39" s="39"/>
      <x:c r="U39" s="39"/>
      <x:c r="V39" s="39"/>
      <x:c r="W39" s="39"/>
      <x:c r="X39" s="39"/>
      <x:c r="Y39" s="39"/>
      <x:c r="Z39" s="39"/>
    </x:row>
    <x:row r="40">
      <x:c r="A40" s="43"/>
      <x:c r="B40" s="43"/>
      <x:c r="C40" s="43"/>
      <x:c r="D40" s="43"/>
      <x:c r="E40" s="43"/>
      <x:c r="F40" s="43"/>
      <x:c r="G40" s="43"/>
      <x:c r="H40" s="43"/>
      <x:c r="I40" s="39"/>
      <x:c r="J40" s="39"/>
      <x:c r="K40" s="39"/>
      <x:c r="L40" s="39"/>
      <x:c r="M40" s="39"/>
      <x:c r="N40" s="39"/>
      <x:c r="O40" s="39"/>
      <x:c r="P40" s="39"/>
      <x:c r="Q40" s="39"/>
      <x:c r="R40" s="39"/>
      <x:c r="S40" s="39"/>
      <x:c r="T40" s="39"/>
      <x:c r="U40" s="39"/>
      <x:c r="V40" s="39"/>
      <x:c r="W40" s="39"/>
      <x:c r="X40" s="39"/>
      <x:c r="Y40" s="39"/>
      <x:c r="Z40" s="39"/>
    </x:row>
    <x:row r="41">
      <x:c r="A41" s="43"/>
      <x:c r="B41" s="43"/>
      <x:c r="C41" s="43"/>
      <x:c r="D41" s="43"/>
      <x:c r="E41" s="43"/>
      <x:c r="F41" s="43"/>
      <x:c r="G41" s="43"/>
      <x:c r="H41" s="43"/>
      <x:c r="I41" s="39"/>
      <x:c r="J41" s="39"/>
      <x:c r="K41" s="39"/>
      <x:c r="L41" s="39"/>
      <x:c r="M41" s="39"/>
      <x:c r="N41" s="39"/>
      <x:c r="O41" s="39"/>
      <x:c r="P41" s="39"/>
      <x:c r="Q41" s="39"/>
      <x:c r="R41" s="39"/>
      <x:c r="S41" s="39"/>
      <x:c r="T41" s="39"/>
      <x:c r="U41" s="39"/>
      <x:c r="V41" s="39"/>
      <x:c r="W41" s="39"/>
      <x:c r="X41" s="39"/>
      <x:c r="Y41" s="39"/>
      <x:c r="Z41" s="39"/>
    </x:row>
    <x:row r="42">
      <x:c r="A42" s="43"/>
      <x:c r="B42" s="43"/>
      <x:c r="C42" s="43"/>
      <x:c r="D42" s="43"/>
      <x:c r="E42" s="43"/>
      <x:c r="F42" s="43"/>
      <x:c r="G42" s="43"/>
      <x:c r="H42" s="43"/>
      <x:c r="I42" s="39"/>
      <x:c r="J42" s="39"/>
      <x:c r="K42" s="39"/>
      <x:c r="L42" s="39"/>
      <x:c r="M42" s="39"/>
      <x:c r="N42" s="39"/>
      <x:c r="O42" s="39"/>
      <x:c r="P42" s="39"/>
      <x:c r="Q42" s="39"/>
      <x:c r="R42" s="39"/>
      <x:c r="S42" s="39"/>
      <x:c r="T42" s="39"/>
      <x:c r="U42" s="39"/>
      <x:c r="V42" s="39"/>
      <x:c r="W42" s="39"/>
      <x:c r="X42" s="39"/>
      <x:c r="Y42" s="39"/>
      <x:c r="Z42" s="39"/>
    </x:row>
    <x:row r="43">
      <x:c r="A43" s="43"/>
      <x:c r="B43" s="43"/>
      <x:c r="C43" s="43"/>
      <x:c r="D43" s="43"/>
      <x:c r="E43" s="43"/>
      <x:c r="F43" s="43"/>
      <x:c r="G43" s="43"/>
      <x:c r="H43" s="43"/>
      <x:c r="I43" s="39"/>
      <x:c r="J43" s="39"/>
      <x:c r="K43" s="39"/>
      <x:c r="L43" s="39"/>
      <x:c r="M43" s="39"/>
      <x:c r="N43" s="39"/>
      <x:c r="O43" s="39"/>
      <x:c r="P43" s="39"/>
      <x:c r="Q43" s="39"/>
      <x:c r="R43" s="39"/>
      <x:c r="S43" s="39"/>
      <x:c r="T43" s="39"/>
      <x:c r="U43" s="39"/>
      <x:c r="V43" s="39"/>
      <x:c r="W43" s="39"/>
      <x:c r="X43" s="39"/>
      <x:c r="Y43" s="39"/>
      <x:c r="Z43" s="39"/>
    </x:row>
    <x:row r="44">
      <x:c r="A44" s="43"/>
      <x:c r="B44" s="43"/>
      <x:c r="C44" s="43"/>
      <x:c r="D44" s="43"/>
      <x:c r="E44" s="43"/>
      <x:c r="F44" s="43"/>
      <x:c r="G44" s="43"/>
      <x:c r="H44" s="43"/>
      <x:c r="I44" s="39"/>
      <x:c r="J44" s="39"/>
      <x:c r="K44" s="39"/>
      <x:c r="L44" s="39"/>
      <x:c r="M44" s="39"/>
      <x:c r="N44" s="39"/>
      <x:c r="O44" s="39"/>
      <x:c r="P44" s="39"/>
      <x:c r="Q44" s="39"/>
      <x:c r="R44" s="39"/>
      <x:c r="S44" s="39"/>
      <x:c r="T44" s="39"/>
      <x:c r="U44" s="39"/>
      <x:c r="V44" s="39"/>
      <x:c r="W44" s="39"/>
      <x:c r="X44" s="39"/>
      <x:c r="Y44" s="39"/>
      <x:c r="Z44" s="39"/>
    </x:row>
    <x:row r="45">
      <x:c r="A45" s="43"/>
      <x:c r="B45" s="43"/>
      <x:c r="C45" s="43"/>
      <x:c r="D45" s="43"/>
      <x:c r="E45" s="43"/>
      <x:c r="F45" s="43"/>
      <x:c r="G45" s="43"/>
      <x:c r="H45" s="43"/>
      <x:c r="I45" s="39"/>
      <x:c r="J45" s="39"/>
      <x:c r="K45" s="39"/>
      <x:c r="L45" s="39"/>
      <x:c r="M45" s="39"/>
      <x:c r="N45" s="39"/>
      <x:c r="O45" s="39"/>
      <x:c r="P45" s="39"/>
      <x:c r="Q45" s="39"/>
      <x:c r="R45" s="39"/>
      <x:c r="S45" s="39"/>
      <x:c r="T45" s="39"/>
      <x:c r="U45" s="39"/>
      <x:c r="V45" s="39"/>
      <x:c r="W45" s="39"/>
      <x:c r="X45" s="39"/>
      <x:c r="Y45" s="39"/>
      <x:c r="Z45" s="39"/>
    </x:row>
    <x:row r="46">
      <x:c r="A46" s="43"/>
      <x:c r="B46" s="43"/>
      <x:c r="C46" s="43"/>
      <x:c r="D46" s="43"/>
      <x:c r="E46" s="43"/>
      <x:c r="F46" s="43"/>
      <x:c r="G46" s="43"/>
      <x:c r="H46" s="43"/>
      <x:c r="I46" s="39"/>
      <x:c r="J46" s="39"/>
      <x:c r="K46" s="39"/>
      <x:c r="L46" s="39"/>
      <x:c r="M46" s="39"/>
      <x:c r="N46" s="39"/>
      <x:c r="O46" s="39"/>
      <x:c r="P46" s="39"/>
      <x:c r="Q46" s="39"/>
      <x:c r="R46" s="39"/>
      <x:c r="S46" s="39"/>
      <x:c r="T46" s="39"/>
      <x:c r="U46" s="39"/>
      <x:c r="V46" s="39"/>
      <x:c r="W46" s="39"/>
      <x:c r="X46" s="39"/>
      <x:c r="Y46" s="39"/>
      <x:c r="Z46" s="39"/>
    </x:row>
    <x:row r="47">
      <x:c r="A47" s="43"/>
      <x:c r="B47" s="43"/>
      <x:c r="C47" s="43"/>
      <x:c r="D47" s="43"/>
      <x:c r="E47" s="43"/>
      <x:c r="F47" s="43"/>
      <x:c r="G47" s="43"/>
      <x:c r="H47" s="43"/>
      <x:c r="I47" s="39"/>
      <x:c r="J47" s="39"/>
      <x:c r="K47" s="39"/>
      <x:c r="L47" s="39"/>
      <x:c r="M47" s="39"/>
      <x:c r="N47" s="39"/>
      <x:c r="O47" s="39"/>
      <x:c r="P47" s="39"/>
      <x:c r="Q47" s="39"/>
      <x:c r="R47" s="39"/>
      <x:c r="S47" s="39"/>
      <x:c r="T47" s="39"/>
      <x:c r="U47" s="39"/>
      <x:c r="V47" s="39"/>
      <x:c r="W47" s="39"/>
      <x:c r="X47" s="39"/>
      <x:c r="Y47" s="39"/>
      <x:c r="Z47" s="39"/>
    </x:row>
    <x:row r="48">
      <x:c r="A48" s="43"/>
      <x:c r="B48" s="43"/>
      <x:c r="C48" s="43"/>
      <x:c r="D48" s="43"/>
      <x:c r="E48" s="43"/>
      <x:c r="F48" s="43"/>
      <x:c r="G48" s="43"/>
      <x:c r="H48" s="43"/>
      <x:c r="I48" s="39"/>
      <x:c r="J48" s="39"/>
      <x:c r="K48" s="39"/>
      <x:c r="L48" s="39"/>
      <x:c r="M48" s="39"/>
      <x:c r="N48" s="39"/>
      <x:c r="O48" s="39"/>
      <x:c r="P48" s="39"/>
      <x:c r="Q48" s="39"/>
      <x:c r="R48" s="39"/>
      <x:c r="S48" s="39"/>
      <x:c r="T48" s="39"/>
      <x:c r="U48" s="39"/>
      <x:c r="V48" s="39"/>
      <x:c r="W48" s="39"/>
      <x:c r="X48" s="39"/>
      <x:c r="Y48" s="39"/>
      <x:c r="Z48" s="39"/>
    </x:row>
    <x:row r="49">
      <x:c r="A49" s="43"/>
      <x:c r="B49" s="43"/>
      <x:c r="C49" s="43"/>
      <x:c r="D49" s="43"/>
      <x:c r="E49" s="43"/>
      <x:c r="F49" s="43"/>
      <x:c r="G49" s="43"/>
      <x:c r="H49" s="43"/>
      <x:c r="I49" s="39"/>
      <x:c r="J49" s="39"/>
      <x:c r="K49" s="39"/>
      <x:c r="L49" s="39"/>
      <x:c r="M49" s="39"/>
      <x:c r="N49" s="39"/>
      <x:c r="O49" s="39"/>
      <x:c r="P49" s="39"/>
      <x:c r="Q49" s="39"/>
      <x:c r="R49" s="39"/>
      <x:c r="S49" s="39"/>
      <x:c r="T49" s="39"/>
      <x:c r="U49" s="39"/>
      <x:c r="V49" s="39"/>
      <x:c r="W49" s="39"/>
      <x:c r="X49" s="39"/>
      <x:c r="Y49" s="39"/>
      <x:c r="Z49" s="39"/>
    </x:row>
    <x:row r="50">
      <x:c r="A50" s="43"/>
      <x:c r="B50" s="43"/>
      <x:c r="C50" s="43"/>
      <x:c r="D50" s="43"/>
      <x:c r="E50" s="43"/>
      <x:c r="F50" s="43"/>
      <x:c r="G50" s="43"/>
      <x:c r="H50" s="43"/>
      <x:c r="I50" s="39"/>
      <x:c r="J50" s="39"/>
      <x:c r="K50" s="39"/>
      <x:c r="L50" s="39"/>
      <x:c r="M50" s="39"/>
      <x:c r="N50" s="39"/>
      <x:c r="O50" s="39"/>
      <x:c r="P50" s="39"/>
      <x:c r="Q50" s="39"/>
      <x:c r="R50" s="39"/>
      <x:c r="S50" s="39"/>
      <x:c r="T50" s="39"/>
      <x:c r="U50" s="39"/>
      <x:c r="V50" s="39"/>
      <x:c r="W50" s="39"/>
      <x:c r="X50" s="39"/>
      <x:c r="Y50" s="39"/>
      <x:c r="Z50" s="39"/>
    </x:row>
    <x:row r="51">
      <x:c r="A51" s="43"/>
      <x:c r="B51" s="43"/>
      <x:c r="C51" s="43"/>
      <x:c r="D51" s="43"/>
      <x:c r="E51" s="43"/>
      <x:c r="F51" s="43"/>
      <x:c r="G51" s="43"/>
      <x:c r="H51" s="43"/>
      <x:c r="I51" s="39"/>
      <x:c r="J51" s="39"/>
      <x:c r="K51" s="39"/>
      <x:c r="L51" s="39"/>
      <x:c r="M51" s="39"/>
      <x:c r="N51" s="39"/>
      <x:c r="O51" s="39"/>
      <x:c r="P51" s="39"/>
      <x:c r="Q51" s="39"/>
      <x:c r="R51" s="39"/>
      <x:c r="S51" s="39"/>
      <x:c r="T51" s="39"/>
      <x:c r="U51" s="39"/>
      <x:c r="V51" s="39"/>
      <x:c r="W51" s="39"/>
      <x:c r="X51" s="39"/>
      <x:c r="Y51" s="39"/>
      <x:c r="Z51" s="39"/>
    </x:row>
    <x:row r="52">
      <x:c r="A52" s="43"/>
      <x:c r="B52" s="43"/>
      <x:c r="C52" s="43"/>
      <x:c r="D52" s="43"/>
      <x:c r="E52" s="43"/>
      <x:c r="F52" s="43"/>
      <x:c r="G52" s="43"/>
      <x:c r="H52" s="43"/>
      <x:c r="I52" s="39"/>
      <x:c r="J52" s="39"/>
      <x:c r="K52" s="39"/>
      <x:c r="L52" s="39"/>
      <x:c r="M52" s="39"/>
      <x:c r="N52" s="39"/>
      <x:c r="O52" s="39"/>
      <x:c r="P52" s="39"/>
      <x:c r="Q52" s="39"/>
      <x:c r="R52" s="39"/>
      <x:c r="S52" s="39"/>
      <x:c r="T52" s="39"/>
      <x:c r="U52" s="39"/>
      <x:c r="V52" s="39"/>
      <x:c r="W52" s="39"/>
      <x:c r="X52" s="39"/>
      <x:c r="Y52" s="39"/>
      <x:c r="Z52" s="39"/>
    </x:row>
    <x:row r="53">
      <x:c r="A53" s="43"/>
      <x:c r="B53" s="43"/>
      <x:c r="C53" s="43"/>
      <x:c r="D53" s="43"/>
      <x:c r="E53" s="43"/>
      <x:c r="F53" s="43"/>
      <x:c r="G53" s="43"/>
      <x:c r="H53" s="43"/>
      <x:c r="I53" s="39"/>
      <x:c r="J53" s="39"/>
      <x:c r="K53" s="39"/>
      <x:c r="L53" s="39"/>
      <x:c r="M53" s="39"/>
      <x:c r="N53" s="39"/>
      <x:c r="O53" s="39"/>
      <x:c r="P53" s="39"/>
      <x:c r="Q53" s="39"/>
      <x:c r="R53" s="39"/>
      <x:c r="S53" s="39"/>
      <x:c r="T53" s="39"/>
      <x:c r="U53" s="39"/>
      <x:c r="V53" s="39"/>
      <x:c r="W53" s="39"/>
      <x:c r="X53" s="39"/>
      <x:c r="Y53" s="39"/>
      <x:c r="Z53" s="39"/>
    </x:row>
    <x:row r="54">
      <x:c r="A54" s="43"/>
      <x:c r="B54" s="43"/>
      <x:c r="C54" s="43"/>
      <x:c r="D54" s="43"/>
      <x:c r="E54" s="43"/>
      <x:c r="F54" s="43"/>
      <x:c r="G54" s="43"/>
      <x:c r="H54" s="43"/>
      <x:c r="I54" s="39"/>
      <x:c r="J54" s="39"/>
      <x:c r="K54" s="39"/>
      <x:c r="L54" s="39"/>
      <x:c r="M54" s="39"/>
      <x:c r="N54" s="39"/>
      <x:c r="O54" s="39"/>
      <x:c r="P54" s="39"/>
      <x:c r="Q54" s="39"/>
      <x:c r="R54" s="39"/>
      <x:c r="S54" s="39"/>
      <x:c r="T54" s="39"/>
      <x:c r="U54" s="39"/>
      <x:c r="V54" s="39"/>
      <x:c r="W54" s="39"/>
      <x:c r="X54" s="39"/>
      <x:c r="Y54" s="39"/>
      <x:c r="Z54" s="39"/>
    </x:row>
    <x:row r="55">
      <x:c r="A55" s="43"/>
      <x:c r="B55" s="43"/>
      <x:c r="C55" s="43"/>
      <x:c r="D55" s="43"/>
      <x:c r="E55" s="43"/>
      <x:c r="F55" s="43"/>
      <x:c r="G55" s="43"/>
      <x:c r="H55" s="43"/>
      <x:c r="I55" s="39"/>
      <x:c r="J55" s="39"/>
      <x:c r="K55" s="39"/>
      <x:c r="L55" s="39"/>
      <x:c r="M55" s="39"/>
      <x:c r="N55" s="39"/>
      <x:c r="O55" s="39"/>
      <x:c r="P55" s="39"/>
      <x:c r="Q55" s="39"/>
      <x:c r="R55" s="39"/>
      <x:c r="S55" s="39"/>
      <x:c r="T55" s="39"/>
      <x:c r="U55" s="39"/>
      <x:c r="V55" s="39"/>
      <x:c r="W55" s="39"/>
      <x:c r="X55" s="39"/>
      <x:c r="Y55" s="39"/>
      <x:c r="Z55" s="39"/>
    </x:row>
    <x:row r="56">
      <x:c r="A56" s="43"/>
      <x:c r="B56" s="43"/>
      <x:c r="C56" s="43"/>
      <x:c r="D56" s="43"/>
      <x:c r="E56" s="43"/>
      <x:c r="F56" s="43"/>
      <x:c r="G56" s="43"/>
      <x:c r="H56" s="43"/>
      <x:c r="I56" s="39"/>
      <x:c r="J56" s="39"/>
      <x:c r="K56" s="39"/>
      <x:c r="L56" s="39"/>
      <x:c r="M56" s="39"/>
      <x:c r="N56" s="39"/>
      <x:c r="O56" s="39"/>
      <x:c r="P56" s="39"/>
      <x:c r="Q56" s="39"/>
      <x:c r="R56" s="39"/>
      <x:c r="S56" s="39"/>
      <x:c r="T56" s="39"/>
      <x:c r="U56" s="39"/>
      <x:c r="V56" s="39"/>
      <x:c r="W56" s="39"/>
      <x:c r="X56" s="39"/>
      <x:c r="Y56" s="39"/>
      <x:c r="Z56" s="39"/>
    </x:row>
    <x:row r="57">
      <x:c r="A57" s="43"/>
      <x:c r="B57" s="43"/>
      <x:c r="C57" s="43"/>
      <x:c r="D57" s="43"/>
      <x:c r="E57" s="43"/>
      <x:c r="F57" s="43"/>
      <x:c r="G57" s="43"/>
      <x:c r="H57" s="43"/>
      <x:c r="I57" s="39"/>
      <x:c r="J57" s="39"/>
      <x:c r="K57" s="39"/>
      <x:c r="L57" s="39"/>
      <x:c r="M57" s="39"/>
      <x:c r="N57" s="39"/>
      <x:c r="O57" s="39"/>
      <x:c r="P57" s="39"/>
      <x:c r="Q57" s="39"/>
      <x:c r="R57" s="39"/>
      <x:c r="S57" s="39"/>
      <x:c r="T57" s="39"/>
      <x:c r="U57" s="39"/>
      <x:c r="V57" s="39"/>
      <x:c r="W57" s="39"/>
      <x:c r="X57" s="39"/>
      <x:c r="Y57" s="39"/>
      <x:c r="Z57" s="39"/>
    </x:row>
    <x:row r="58">
      <x:c r="A58" s="43"/>
      <x:c r="B58" s="43"/>
      <x:c r="C58" s="43"/>
      <x:c r="D58" s="43"/>
      <x:c r="E58" s="43"/>
      <x:c r="F58" s="43"/>
      <x:c r="G58" s="43"/>
      <x:c r="H58" s="43"/>
      <x:c r="I58" s="39"/>
      <x:c r="J58" s="39"/>
      <x:c r="K58" s="39"/>
      <x:c r="L58" s="39"/>
      <x:c r="M58" s="39"/>
      <x:c r="N58" s="39"/>
      <x:c r="O58" s="39"/>
      <x:c r="P58" s="39"/>
      <x:c r="Q58" s="39"/>
      <x:c r="R58" s="39"/>
      <x:c r="S58" s="39"/>
      <x:c r="T58" s="39"/>
      <x:c r="U58" s="39"/>
      <x:c r="V58" s="39"/>
      <x:c r="W58" s="39"/>
      <x:c r="X58" s="39"/>
      <x:c r="Y58" s="39"/>
      <x:c r="Z58" s="39"/>
    </x:row>
    <x:row r="59">
      <x:c r="A59" s="43"/>
      <x:c r="B59" s="43"/>
      <x:c r="C59" s="43"/>
      <x:c r="D59" s="43"/>
      <x:c r="E59" s="43"/>
      <x:c r="F59" s="43"/>
      <x:c r="G59" s="43"/>
      <x:c r="H59" s="43"/>
      <x:c r="I59" s="39"/>
      <x:c r="J59" s="39"/>
      <x:c r="K59" s="39"/>
      <x:c r="L59" s="39"/>
      <x:c r="M59" s="39"/>
      <x:c r="N59" s="39"/>
      <x:c r="O59" s="39"/>
      <x:c r="P59" s="39"/>
      <x:c r="Q59" s="39"/>
      <x:c r="R59" s="39"/>
      <x:c r="S59" s="39"/>
      <x:c r="T59" s="39"/>
      <x:c r="U59" s="39"/>
      <x:c r="V59" s="39"/>
      <x:c r="W59" s="39"/>
      <x:c r="X59" s="39"/>
      <x:c r="Y59" s="39"/>
      <x:c r="Z59" s="39"/>
    </x:row>
    <x:row r="60">
      <x:c r="A60" s="43"/>
      <x:c r="B60" s="43"/>
      <x:c r="C60" s="43"/>
      <x:c r="D60" s="43"/>
      <x:c r="E60" s="43"/>
      <x:c r="F60" s="43"/>
      <x:c r="G60" s="43"/>
      <x:c r="H60" s="43"/>
      <x:c r="I60" s="39"/>
      <x:c r="J60" s="39"/>
      <x:c r="K60" s="39"/>
      <x:c r="L60" s="39"/>
      <x:c r="M60" s="39"/>
      <x:c r="N60" s="39"/>
      <x:c r="O60" s="39"/>
      <x:c r="P60" s="39"/>
      <x:c r="Q60" s="39"/>
      <x:c r="R60" s="39"/>
      <x:c r="S60" s="39"/>
      <x:c r="T60" s="39"/>
      <x:c r="U60" s="39"/>
      <x:c r="V60" s="39"/>
      <x:c r="W60" s="39"/>
      <x:c r="X60" s="39"/>
      <x:c r="Y60" s="39"/>
      <x:c r="Z60" s="39"/>
    </x:row>
    <x:row r="61">
      <x:c r="A61" s="43"/>
      <x:c r="B61" s="43"/>
      <x:c r="C61" s="43"/>
      <x:c r="D61" s="43"/>
      <x:c r="E61" s="43"/>
      <x:c r="F61" s="43"/>
      <x:c r="G61" s="43"/>
      <x:c r="H61" s="43"/>
      <x:c r="I61" s="39"/>
      <x:c r="J61" s="39"/>
      <x:c r="K61" s="39"/>
      <x:c r="L61" s="39"/>
      <x:c r="M61" s="39"/>
      <x:c r="N61" s="39"/>
      <x:c r="O61" s="39"/>
      <x:c r="P61" s="39"/>
      <x:c r="Q61" s="39"/>
      <x:c r="R61" s="39"/>
      <x:c r="S61" s="39"/>
      <x:c r="T61" s="39"/>
      <x:c r="U61" s="39"/>
      <x:c r="V61" s="39"/>
      <x:c r="W61" s="39"/>
      <x:c r="X61" s="39"/>
      <x:c r="Y61" s="39"/>
      <x:c r="Z61" s="39"/>
    </x:row>
    <x:row r="62">
      <x:c r="A62" s="43"/>
      <x:c r="B62" s="43"/>
      <x:c r="C62" s="43"/>
      <x:c r="D62" s="43"/>
      <x:c r="E62" s="43"/>
      <x:c r="F62" s="43"/>
      <x:c r="G62" s="43"/>
      <x:c r="H62" s="43"/>
      <x:c r="I62" s="39"/>
      <x:c r="J62" s="39"/>
      <x:c r="K62" s="39"/>
      <x:c r="L62" s="39"/>
      <x:c r="M62" s="39"/>
      <x:c r="N62" s="39"/>
      <x:c r="O62" s="39"/>
      <x:c r="P62" s="39"/>
      <x:c r="Q62" s="39"/>
      <x:c r="R62" s="39"/>
      <x:c r="S62" s="39"/>
      <x:c r="T62" s="39"/>
      <x:c r="U62" s="39"/>
      <x:c r="V62" s="39"/>
      <x:c r="W62" s="39"/>
      <x:c r="X62" s="39"/>
      <x:c r="Y62" s="39"/>
      <x:c r="Z62" s="39"/>
    </x:row>
    <x:row r="63">
      <x:c r="A63" s="43"/>
      <x:c r="B63" s="43"/>
      <x:c r="C63" s="43"/>
      <x:c r="D63" s="43"/>
      <x:c r="E63" s="43"/>
      <x:c r="F63" s="43"/>
      <x:c r="G63" s="43"/>
      <x:c r="H63" s="43"/>
      <x:c r="I63" s="39"/>
      <x:c r="J63" s="39"/>
      <x:c r="K63" s="39"/>
      <x:c r="L63" s="39"/>
      <x:c r="M63" s="39"/>
      <x:c r="N63" s="39"/>
      <x:c r="O63" s="39"/>
      <x:c r="P63" s="39"/>
      <x:c r="Q63" s="39"/>
      <x:c r="R63" s="39"/>
      <x:c r="S63" s="39"/>
      <x:c r="T63" s="39"/>
      <x:c r="U63" s="39"/>
      <x:c r="V63" s="39"/>
      <x:c r="W63" s="39"/>
      <x:c r="X63" s="39"/>
      <x:c r="Y63" s="39"/>
      <x:c r="Z63" s="39"/>
    </x:row>
    <x:row r="64">
      <x:c r="A64" s="43"/>
      <x:c r="B64" s="43"/>
      <x:c r="C64" s="43"/>
      <x:c r="D64" s="43"/>
      <x:c r="E64" s="43"/>
      <x:c r="F64" s="43"/>
      <x:c r="G64" s="43"/>
      <x:c r="H64" s="43"/>
      <x:c r="I64" s="39"/>
      <x:c r="J64" s="39"/>
      <x:c r="K64" s="39"/>
      <x:c r="L64" s="39"/>
      <x:c r="M64" s="39"/>
      <x:c r="N64" s="39"/>
      <x:c r="O64" s="39"/>
      <x:c r="P64" s="39"/>
      <x:c r="Q64" s="39"/>
      <x:c r="R64" s="39"/>
      <x:c r="S64" s="39"/>
      <x:c r="T64" s="39"/>
      <x:c r="U64" s="39"/>
      <x:c r="V64" s="39"/>
      <x:c r="W64" s="39"/>
      <x:c r="X64" s="39"/>
      <x:c r="Y64" s="39"/>
      <x:c r="Z64" s="39"/>
    </x:row>
    <x:row r="65">
      <x:c r="A65" s="43"/>
      <x:c r="B65" s="43"/>
      <x:c r="C65" s="43"/>
      <x:c r="D65" s="43"/>
      <x:c r="E65" s="43"/>
      <x:c r="F65" s="43"/>
      <x:c r="G65" s="43"/>
      <x:c r="H65" s="43"/>
      <x:c r="I65" s="39"/>
      <x:c r="J65" s="39"/>
      <x:c r="K65" s="39"/>
      <x:c r="L65" s="39"/>
      <x:c r="M65" s="39"/>
      <x:c r="N65" s="39"/>
      <x:c r="O65" s="39"/>
      <x:c r="P65" s="39"/>
      <x:c r="Q65" s="39"/>
      <x:c r="R65" s="39"/>
      <x:c r="S65" s="39"/>
      <x:c r="T65" s="39"/>
      <x:c r="U65" s="39"/>
      <x:c r="V65" s="39"/>
      <x:c r="W65" s="39"/>
      <x:c r="X65" s="39"/>
      <x:c r="Y65" s="39"/>
      <x:c r="Z65" s="39"/>
    </x:row>
    <x:row r="66">
      <x:c r="A66" s="43"/>
      <x:c r="B66" s="43"/>
      <x:c r="C66" s="43"/>
      <x:c r="D66" s="43"/>
      <x:c r="E66" s="43"/>
      <x:c r="F66" s="43"/>
      <x:c r="G66" s="43"/>
      <x:c r="H66" s="43"/>
      <x:c r="I66" s="39"/>
      <x:c r="J66" s="39"/>
      <x:c r="K66" s="39"/>
      <x:c r="L66" s="39"/>
      <x:c r="M66" s="39"/>
      <x:c r="N66" s="39"/>
      <x:c r="O66" s="39"/>
      <x:c r="P66" s="39"/>
      <x:c r="Q66" s="39"/>
      <x:c r="R66" s="39"/>
      <x:c r="S66" s="39"/>
      <x:c r="T66" s="39"/>
      <x:c r="U66" s="39"/>
      <x:c r="V66" s="39"/>
      <x:c r="W66" s="39"/>
      <x:c r="X66" s="39"/>
      <x:c r="Y66" s="39"/>
      <x:c r="Z66" s="39"/>
    </x:row>
    <x:row r="67">
      <x:c r="A67" s="43"/>
      <x:c r="B67" s="43"/>
      <x:c r="C67" s="43"/>
      <x:c r="D67" s="43"/>
      <x:c r="E67" s="43"/>
      <x:c r="F67" s="43"/>
      <x:c r="G67" s="43"/>
      <x:c r="H67" s="43"/>
      <x:c r="I67" s="39"/>
      <x:c r="J67" s="39"/>
      <x:c r="K67" s="39"/>
      <x:c r="L67" s="39"/>
      <x:c r="M67" s="39"/>
      <x:c r="N67" s="39"/>
      <x:c r="O67" s="39"/>
      <x:c r="P67" s="39"/>
      <x:c r="Q67" s="39"/>
      <x:c r="R67" s="39"/>
      <x:c r="S67" s="39"/>
      <x:c r="T67" s="39"/>
      <x:c r="U67" s="39"/>
      <x:c r="V67" s="39"/>
      <x:c r="W67" s="39"/>
      <x:c r="X67" s="39"/>
      <x:c r="Y67" s="39"/>
      <x:c r="Z67" s="39"/>
    </x:row>
    <x:row r="68">
      <x:c r="A68" s="43"/>
      <x:c r="B68" s="43"/>
      <x:c r="C68" s="43"/>
      <x:c r="D68" s="43"/>
      <x:c r="E68" s="43"/>
      <x:c r="F68" s="43"/>
      <x:c r="G68" s="43"/>
      <x:c r="H68" s="43"/>
      <x:c r="I68" s="39"/>
      <x:c r="J68" s="39"/>
      <x:c r="K68" s="39"/>
      <x:c r="L68" s="39"/>
      <x:c r="M68" s="39"/>
      <x:c r="N68" s="39"/>
      <x:c r="O68" s="39"/>
      <x:c r="P68" s="39"/>
      <x:c r="Q68" s="39"/>
      <x:c r="R68" s="39"/>
      <x:c r="S68" s="39"/>
      <x:c r="T68" s="39"/>
      <x:c r="U68" s="39"/>
      <x:c r="V68" s="39"/>
      <x:c r="W68" s="39"/>
      <x:c r="X68" s="39"/>
      <x:c r="Y68" s="39"/>
      <x:c r="Z68" s="39"/>
    </x:row>
    <x:row r="69">
      <x:c r="A69" s="43"/>
      <x:c r="B69" s="43"/>
      <x:c r="C69" s="43"/>
      <x:c r="D69" s="43"/>
      <x:c r="E69" s="43"/>
      <x:c r="F69" s="43"/>
      <x:c r="G69" s="43"/>
      <x:c r="H69" s="43"/>
      <x:c r="I69" s="39"/>
      <x:c r="J69" s="39"/>
      <x:c r="K69" s="39"/>
      <x:c r="L69" s="39"/>
      <x:c r="M69" s="39"/>
      <x:c r="N69" s="39"/>
      <x:c r="O69" s="39"/>
      <x:c r="P69" s="39"/>
      <x:c r="Q69" s="39"/>
      <x:c r="R69" s="39"/>
      <x:c r="S69" s="39"/>
      <x:c r="T69" s="39"/>
      <x:c r="U69" s="39"/>
      <x:c r="V69" s="39"/>
      <x:c r="W69" s="39"/>
      <x:c r="X69" s="39"/>
      <x:c r="Y69" s="39"/>
      <x:c r="Z69" s="39"/>
    </x:row>
    <x:row r="70">
      <x:c r="A70" s="43"/>
      <x:c r="B70" s="43"/>
      <x:c r="C70" s="43"/>
      <x:c r="D70" s="43"/>
      <x:c r="E70" s="43"/>
      <x:c r="F70" s="43"/>
      <x:c r="G70" s="43"/>
      <x:c r="H70" s="43"/>
      <x:c r="I70" s="39"/>
      <x:c r="J70" s="39"/>
      <x:c r="K70" s="39"/>
      <x:c r="L70" s="39"/>
      <x:c r="M70" s="39"/>
      <x:c r="N70" s="39"/>
      <x:c r="O70" s="39"/>
      <x:c r="P70" s="39"/>
      <x:c r="Q70" s="39"/>
      <x:c r="R70" s="39"/>
      <x:c r="S70" s="39"/>
      <x:c r="T70" s="39"/>
      <x:c r="U70" s="39"/>
      <x:c r="V70" s="39"/>
      <x:c r="W70" s="39"/>
      <x:c r="X70" s="39"/>
      <x:c r="Y70" s="39"/>
      <x:c r="Z70" s="39"/>
    </x:row>
    <x:row r="71">
      <x:c r="A71" s="43"/>
      <x:c r="B71" s="43"/>
      <x:c r="C71" s="43"/>
      <x:c r="D71" s="43"/>
      <x:c r="E71" s="43"/>
      <x:c r="F71" s="43"/>
      <x:c r="G71" s="43"/>
      <x:c r="H71" s="43"/>
      <x:c r="I71" s="39"/>
      <x:c r="J71" s="39"/>
      <x:c r="K71" s="39"/>
      <x:c r="L71" s="39"/>
      <x:c r="M71" s="39"/>
      <x:c r="N71" s="39"/>
      <x:c r="O71" s="39"/>
      <x:c r="P71" s="39"/>
      <x:c r="Q71" s="39"/>
      <x:c r="R71" s="39"/>
      <x:c r="S71" s="39"/>
      <x:c r="T71" s="39"/>
      <x:c r="U71" s="39"/>
      <x:c r="V71" s="39"/>
      <x:c r="W71" s="39"/>
      <x:c r="X71" s="39"/>
      <x:c r="Y71" s="39"/>
      <x:c r="Z71" s="39"/>
    </x:row>
    <x:row r="72">
      <x:c r="A72" s="43"/>
      <x:c r="B72" s="43"/>
      <x:c r="C72" s="43"/>
      <x:c r="D72" s="43"/>
      <x:c r="E72" s="43"/>
      <x:c r="F72" s="43"/>
      <x:c r="G72" s="43"/>
      <x:c r="H72" s="43"/>
      <x:c r="I72" s="39"/>
      <x:c r="J72" s="39"/>
      <x:c r="K72" s="39"/>
      <x:c r="L72" s="39"/>
      <x:c r="M72" s="39"/>
      <x:c r="N72" s="39"/>
      <x:c r="O72" s="39"/>
      <x:c r="P72" s="39"/>
      <x:c r="Q72" s="39"/>
      <x:c r="R72" s="39"/>
      <x:c r="S72" s="39"/>
      <x:c r="T72" s="39"/>
      <x:c r="U72" s="39"/>
      <x:c r="V72" s="39"/>
      <x:c r="W72" s="39"/>
      <x:c r="X72" s="39"/>
      <x:c r="Y72" s="39"/>
      <x:c r="Z72" s="39"/>
    </x:row>
    <x:row r="73">
      <x:c r="A73" s="43"/>
      <x:c r="B73" s="43"/>
      <x:c r="C73" s="43"/>
      <x:c r="D73" s="43"/>
      <x:c r="E73" s="43"/>
      <x:c r="F73" s="43"/>
      <x:c r="G73" s="43"/>
      <x:c r="H73" s="43"/>
      <x:c r="I73" s="39"/>
      <x:c r="J73" s="39"/>
      <x:c r="K73" s="39"/>
      <x:c r="L73" s="39"/>
      <x:c r="M73" s="39"/>
      <x:c r="N73" s="39"/>
      <x:c r="O73" s="39"/>
      <x:c r="P73" s="39"/>
      <x:c r="Q73" s="39"/>
      <x:c r="R73" s="39"/>
      <x:c r="S73" s="39"/>
      <x:c r="T73" s="39"/>
      <x:c r="U73" s="39"/>
      <x:c r="V73" s="39"/>
      <x:c r="W73" s="39"/>
      <x:c r="X73" s="39"/>
      <x:c r="Y73" s="39"/>
      <x:c r="Z73" s="39"/>
    </x:row>
    <x:row r="74">
      <x:c r="A74" s="43"/>
      <x:c r="B74" s="43"/>
      <x:c r="C74" s="43"/>
      <x:c r="D74" s="43"/>
      <x:c r="E74" s="43"/>
      <x:c r="F74" s="43"/>
      <x:c r="G74" s="43"/>
      <x:c r="H74" s="43"/>
      <x:c r="I74" s="39"/>
      <x:c r="J74" s="39"/>
      <x:c r="K74" s="39"/>
      <x:c r="L74" s="39"/>
      <x:c r="M74" s="39"/>
      <x:c r="N74" s="39"/>
      <x:c r="O74" s="39"/>
      <x:c r="P74" s="39"/>
      <x:c r="Q74" s="39"/>
      <x:c r="R74" s="39"/>
      <x:c r="S74" s="39"/>
      <x:c r="T74" s="39"/>
      <x:c r="U74" s="39"/>
      <x:c r="V74" s="39"/>
      <x:c r="W74" s="39"/>
      <x:c r="X74" s="39"/>
      <x:c r="Y74" s="39"/>
      <x:c r="Z74" s="39"/>
    </x:row>
    <x:row r="75">
      <x:c r="A75" s="43"/>
      <x:c r="B75" s="43"/>
      <x:c r="C75" s="43"/>
      <x:c r="D75" s="43"/>
      <x:c r="E75" s="43"/>
      <x:c r="F75" s="43"/>
      <x:c r="G75" s="43"/>
      <x:c r="H75" s="43"/>
      <x:c r="I75" s="39"/>
      <x:c r="J75" s="39"/>
      <x:c r="K75" s="39"/>
      <x:c r="L75" s="39"/>
      <x:c r="M75" s="39"/>
      <x:c r="N75" s="39"/>
      <x:c r="O75" s="39"/>
      <x:c r="P75" s="39"/>
      <x:c r="Q75" s="39"/>
      <x:c r="R75" s="39"/>
      <x:c r="S75" s="39"/>
      <x:c r="T75" s="39"/>
      <x:c r="U75" s="39"/>
      <x:c r="V75" s="39"/>
      <x:c r="W75" s="39"/>
      <x:c r="X75" s="39"/>
      <x:c r="Y75" s="39"/>
      <x:c r="Z75" s="39"/>
    </x:row>
    <x:row r="76">
      <x:c r="A76" s="43"/>
      <x:c r="B76" s="43"/>
      <x:c r="C76" s="43"/>
      <x:c r="D76" s="43"/>
      <x:c r="E76" s="43"/>
      <x:c r="F76" s="43"/>
      <x:c r="G76" s="43"/>
      <x:c r="H76" s="43"/>
      <x:c r="I76" s="39"/>
      <x:c r="J76" s="39"/>
      <x:c r="K76" s="39"/>
      <x:c r="L76" s="39"/>
      <x:c r="M76" s="39"/>
      <x:c r="N76" s="39"/>
      <x:c r="O76" s="39"/>
      <x:c r="P76" s="39"/>
      <x:c r="Q76" s="39"/>
      <x:c r="R76" s="39"/>
      <x:c r="S76" s="39"/>
      <x:c r="T76" s="39"/>
      <x:c r="U76" s="39"/>
      <x:c r="V76" s="39"/>
      <x:c r="W76" s="39"/>
      <x:c r="X76" s="39"/>
      <x:c r="Y76" s="39"/>
      <x:c r="Z76" s="39"/>
    </x:row>
    <x:row r="77">
      <x:c r="A77" s="43"/>
      <x:c r="B77" s="43"/>
      <x:c r="C77" s="43"/>
      <x:c r="D77" s="43"/>
      <x:c r="E77" s="43"/>
      <x:c r="F77" s="43"/>
      <x:c r="G77" s="43"/>
      <x:c r="H77" s="43"/>
      <x:c r="I77" s="39"/>
      <x:c r="J77" s="39"/>
      <x:c r="K77" s="39"/>
      <x:c r="L77" s="39"/>
      <x:c r="M77" s="39"/>
      <x:c r="N77" s="39"/>
      <x:c r="O77" s="39"/>
      <x:c r="P77" s="39"/>
      <x:c r="Q77" s="39"/>
      <x:c r="R77" s="39"/>
      <x:c r="S77" s="39"/>
      <x:c r="T77" s="39"/>
      <x:c r="U77" s="39"/>
      <x:c r="V77" s="39"/>
      <x:c r="W77" s="39"/>
      <x:c r="X77" s="39"/>
      <x:c r="Y77" s="39"/>
      <x:c r="Z77" s="39"/>
    </x:row>
    <x:row r="78">
      <x:c r="A78" s="43"/>
      <x:c r="B78" s="43"/>
      <x:c r="C78" s="43"/>
      <x:c r="D78" s="43"/>
      <x:c r="E78" s="43"/>
      <x:c r="F78" s="43"/>
      <x:c r="G78" s="43"/>
      <x:c r="H78" s="43"/>
      <x:c r="I78" s="39"/>
      <x:c r="J78" s="39"/>
      <x:c r="K78" s="39"/>
      <x:c r="L78" s="39"/>
      <x:c r="M78" s="39"/>
      <x:c r="N78" s="39"/>
      <x:c r="O78" s="39"/>
      <x:c r="P78" s="39"/>
      <x:c r="Q78" s="39"/>
      <x:c r="R78" s="39"/>
      <x:c r="S78" s="39"/>
      <x:c r="T78" s="39"/>
      <x:c r="U78" s="39"/>
      <x:c r="V78" s="39"/>
      <x:c r="W78" s="39"/>
      <x:c r="X78" s="39"/>
      <x:c r="Y78" s="39"/>
      <x:c r="Z78" s="39"/>
    </x:row>
    <x:row r="79">
      <x:c r="A79" s="43"/>
      <x:c r="B79" s="43"/>
      <x:c r="C79" s="43"/>
      <x:c r="D79" s="43"/>
      <x:c r="E79" s="43"/>
      <x:c r="F79" s="43"/>
      <x:c r="G79" s="43"/>
      <x:c r="H79" s="43"/>
      <x:c r="I79" s="39"/>
      <x:c r="J79" s="39"/>
      <x:c r="K79" s="39"/>
      <x:c r="L79" s="39"/>
      <x:c r="M79" s="39"/>
      <x:c r="N79" s="39"/>
      <x:c r="O79" s="39"/>
      <x:c r="P79" s="39"/>
      <x:c r="Q79" s="39"/>
      <x:c r="R79" s="39"/>
      <x:c r="S79" s="39"/>
      <x:c r="T79" s="39"/>
      <x:c r="U79" s="39"/>
      <x:c r="V79" s="39"/>
      <x:c r="W79" s="39"/>
      <x:c r="X79" s="39"/>
      <x:c r="Y79" s="39"/>
      <x:c r="Z79" s="39"/>
    </x:row>
    <x:row r="80">
      <x:c r="A80" s="43"/>
      <x:c r="B80" s="43"/>
      <x:c r="C80" s="43"/>
      <x:c r="D80" s="43"/>
      <x:c r="E80" s="43"/>
      <x:c r="F80" s="43"/>
      <x:c r="G80" s="43"/>
      <x:c r="H80" s="43"/>
      <x:c r="I80" s="39"/>
      <x:c r="J80" s="39"/>
      <x:c r="K80" s="39"/>
      <x:c r="L80" s="39"/>
      <x:c r="M80" s="39"/>
      <x:c r="N80" s="39"/>
      <x:c r="O80" s="39"/>
      <x:c r="P80" s="39"/>
      <x:c r="Q80" s="39"/>
      <x:c r="R80" s="39"/>
      <x:c r="S80" s="39"/>
      <x:c r="T80" s="39"/>
      <x:c r="U80" s="39"/>
      <x:c r="V80" s="39"/>
      <x:c r="W80" s="39"/>
      <x:c r="X80" s="39"/>
      <x:c r="Y80" s="39"/>
      <x:c r="Z80" s="39"/>
    </x:row>
    <x:row r="81">
      <x:c r="A81" s="43"/>
      <x:c r="B81" s="43"/>
      <x:c r="C81" s="43"/>
      <x:c r="D81" s="43"/>
      <x:c r="E81" s="43"/>
      <x:c r="F81" s="43"/>
      <x:c r="G81" s="43"/>
      <x:c r="H81" s="43"/>
      <x:c r="I81" s="39"/>
      <x:c r="J81" s="39"/>
      <x:c r="K81" s="39"/>
      <x:c r="L81" s="39"/>
      <x:c r="M81" s="39"/>
      <x:c r="N81" s="39"/>
      <x:c r="O81" s="39"/>
      <x:c r="P81" s="39"/>
      <x:c r="Q81" s="39"/>
      <x:c r="R81" s="39"/>
      <x:c r="S81" s="39"/>
      <x:c r="T81" s="39"/>
      <x:c r="U81" s="39"/>
      <x:c r="V81" s="39"/>
      <x:c r="W81" s="39"/>
      <x:c r="X81" s="39"/>
      <x:c r="Y81" s="39"/>
      <x:c r="Z81" s="39"/>
    </x:row>
    <x:row r="82">
      <x:c r="A82" s="43"/>
      <x:c r="B82" s="43"/>
      <x:c r="C82" s="43"/>
      <x:c r="D82" s="43"/>
      <x:c r="E82" s="43"/>
      <x:c r="F82" s="43"/>
      <x:c r="G82" s="43"/>
      <x:c r="H82" s="43"/>
      <x:c r="I82" s="39"/>
      <x:c r="J82" s="39"/>
      <x:c r="K82" s="39"/>
      <x:c r="L82" s="39"/>
      <x:c r="M82" s="39"/>
      <x:c r="N82" s="39"/>
      <x:c r="O82" s="39"/>
      <x:c r="P82" s="39"/>
      <x:c r="Q82" s="39"/>
      <x:c r="R82" s="39"/>
      <x:c r="S82" s="39"/>
      <x:c r="T82" s="39"/>
      <x:c r="U82" s="39"/>
      <x:c r="V82" s="39"/>
      <x:c r="W82" s="39"/>
      <x:c r="X82" s="39"/>
      <x:c r="Y82" s="39"/>
      <x:c r="Z82" s="39"/>
    </x:row>
    <x:row r="83">
      <x:c r="A83" s="43"/>
      <x:c r="B83" s="43"/>
      <x:c r="C83" s="43"/>
      <x:c r="D83" s="43"/>
      <x:c r="E83" s="43"/>
      <x:c r="F83" s="43"/>
      <x:c r="G83" s="43"/>
      <x:c r="H83" s="43"/>
      <x:c r="I83" s="39"/>
      <x:c r="J83" s="39"/>
      <x:c r="K83" s="39"/>
      <x:c r="L83" s="39"/>
      <x:c r="M83" s="39"/>
      <x:c r="N83" s="39"/>
      <x:c r="O83" s="39"/>
      <x:c r="P83" s="39"/>
      <x:c r="Q83" s="39"/>
      <x:c r="R83" s="39"/>
      <x:c r="S83" s="39"/>
      <x:c r="T83" s="39"/>
      <x:c r="U83" s="39"/>
      <x:c r="V83" s="39"/>
      <x:c r="W83" s="39"/>
      <x:c r="X83" s="39"/>
      <x:c r="Y83" s="39"/>
      <x:c r="Z83" s="39"/>
    </x:row>
    <x:row r="84">
      <x:c r="A84" s="43"/>
      <x:c r="B84" s="43"/>
      <x:c r="C84" s="43"/>
      <x:c r="D84" s="43"/>
      <x:c r="E84" s="43"/>
      <x:c r="F84" s="43"/>
      <x:c r="G84" s="43"/>
      <x:c r="H84" s="43"/>
      <x:c r="I84" s="39"/>
      <x:c r="J84" s="39"/>
      <x:c r="K84" s="39"/>
      <x:c r="L84" s="39"/>
      <x:c r="M84" s="39"/>
      <x:c r="N84" s="39"/>
      <x:c r="O84" s="39"/>
      <x:c r="P84" s="39"/>
      <x:c r="Q84" s="39"/>
      <x:c r="R84" s="39"/>
      <x:c r="S84" s="39"/>
      <x:c r="T84" s="39"/>
      <x:c r="U84" s="39"/>
      <x:c r="V84" s="39"/>
      <x:c r="W84" s="39"/>
      <x:c r="X84" s="39"/>
      <x:c r="Y84" s="39"/>
      <x:c r="Z84" s="39"/>
    </x:row>
    <x:row r="85">
      <x:c r="A85" s="43"/>
      <x:c r="B85" s="43"/>
      <x:c r="C85" s="43"/>
      <x:c r="D85" s="43"/>
      <x:c r="E85" s="43"/>
      <x:c r="F85" s="43"/>
      <x:c r="G85" s="43"/>
      <x:c r="H85" s="43"/>
      <x:c r="I85" s="39"/>
      <x:c r="J85" s="39"/>
      <x:c r="K85" s="39"/>
      <x:c r="L85" s="39"/>
      <x:c r="M85" s="39"/>
      <x:c r="N85" s="39"/>
      <x:c r="O85" s="39"/>
      <x:c r="P85" s="39"/>
      <x:c r="Q85" s="39"/>
      <x:c r="R85" s="39"/>
      <x:c r="S85" s="39"/>
      <x:c r="T85" s="39"/>
      <x:c r="U85" s="39"/>
      <x:c r="V85" s="39"/>
      <x:c r="W85" s="39"/>
      <x:c r="X85" s="39"/>
      <x:c r="Y85" s="39"/>
      <x:c r="Z85" s="39"/>
    </x:row>
    <x:row r="86">
      <x:c r="A86" s="43"/>
      <x:c r="B86" s="43"/>
      <x:c r="C86" s="43"/>
      <x:c r="D86" s="43"/>
      <x:c r="E86" s="43"/>
      <x:c r="F86" s="43"/>
      <x:c r="G86" s="43"/>
      <x:c r="H86" s="43"/>
      <x:c r="I86" s="39"/>
      <x:c r="J86" s="39"/>
      <x:c r="K86" s="39"/>
      <x:c r="L86" s="39"/>
      <x:c r="M86" s="39"/>
      <x:c r="N86" s="39"/>
      <x:c r="O86" s="39"/>
      <x:c r="P86" s="39"/>
      <x:c r="Q86" s="39"/>
      <x:c r="R86" s="39"/>
      <x:c r="S86" s="39"/>
      <x:c r="T86" s="39"/>
      <x:c r="U86" s="39"/>
      <x:c r="V86" s="39"/>
      <x:c r="W86" s="39"/>
      <x:c r="X86" s="39"/>
      <x:c r="Y86" s="39"/>
      <x:c r="Z86" s="39"/>
    </x:row>
    <x:row r="87">
      <x:c r="A87" s="43"/>
      <x:c r="B87" s="43"/>
      <x:c r="C87" s="43"/>
      <x:c r="D87" s="43"/>
      <x:c r="E87" s="43"/>
      <x:c r="F87" s="43"/>
      <x:c r="G87" s="43"/>
      <x:c r="H87" s="43"/>
      <x:c r="I87" s="39"/>
      <x:c r="J87" s="39"/>
      <x:c r="K87" s="39"/>
      <x:c r="L87" s="39"/>
      <x:c r="M87" s="39"/>
      <x:c r="N87" s="39"/>
      <x:c r="O87" s="39"/>
      <x:c r="P87" s="39"/>
      <x:c r="Q87" s="39"/>
      <x:c r="R87" s="39"/>
      <x:c r="S87" s="39"/>
      <x:c r="T87" s="39"/>
      <x:c r="U87" s="39"/>
      <x:c r="V87" s="39"/>
      <x:c r="W87" s="39"/>
      <x:c r="X87" s="39"/>
      <x:c r="Y87" s="39"/>
      <x:c r="Z87" s="39"/>
    </x:row>
    <x:row r="88">
      <x:c r="A88" s="43"/>
      <x:c r="B88" s="43"/>
      <x:c r="C88" s="43"/>
      <x:c r="D88" s="43"/>
      <x:c r="E88" s="43"/>
      <x:c r="F88" s="43"/>
      <x:c r="G88" s="43"/>
      <x:c r="H88" s="43"/>
      <x:c r="I88" s="39"/>
      <x:c r="J88" s="39"/>
      <x:c r="K88" s="39"/>
      <x:c r="L88" s="39"/>
      <x:c r="M88" s="39"/>
      <x:c r="N88" s="39"/>
      <x:c r="O88" s="39"/>
      <x:c r="P88" s="39"/>
      <x:c r="Q88" s="39"/>
      <x:c r="R88" s="39"/>
      <x:c r="S88" s="39"/>
      <x:c r="T88" s="39"/>
      <x:c r="U88" s="39"/>
      <x:c r="V88" s="39"/>
      <x:c r="W88" s="39"/>
      <x:c r="X88" s="39"/>
      <x:c r="Y88" s="39"/>
      <x:c r="Z88" s="39"/>
    </x:row>
    <x:row r="89">
      <x:c r="A89" s="43"/>
      <x:c r="B89" s="43"/>
      <x:c r="C89" s="43"/>
      <x:c r="D89" s="43"/>
      <x:c r="E89" s="43"/>
      <x:c r="F89" s="43"/>
      <x:c r="G89" s="43"/>
      <x:c r="H89" s="43"/>
      <x:c r="I89" s="39"/>
      <x:c r="J89" s="39"/>
      <x:c r="K89" s="39"/>
      <x:c r="L89" s="39"/>
      <x:c r="M89" s="39"/>
      <x:c r="N89" s="39"/>
      <x:c r="O89" s="39"/>
      <x:c r="P89" s="39"/>
      <x:c r="Q89" s="39"/>
      <x:c r="R89" s="39"/>
      <x:c r="S89" s="39"/>
      <x:c r="T89" s="39"/>
      <x:c r="U89" s="39"/>
      <x:c r="V89" s="39"/>
      <x:c r="W89" s="39"/>
      <x:c r="X89" s="39"/>
      <x:c r="Y89" s="39"/>
      <x:c r="Z89" s="39"/>
    </x:row>
    <x:row r="90">
      <x:c r="A90" s="43"/>
      <x:c r="B90" s="43"/>
      <x:c r="C90" s="43"/>
      <x:c r="D90" s="43"/>
      <x:c r="E90" s="43"/>
      <x:c r="F90" s="43"/>
      <x:c r="G90" s="43"/>
      <x:c r="H90" s="43"/>
      <x:c r="I90" s="39"/>
      <x:c r="J90" s="39"/>
      <x:c r="K90" s="39"/>
      <x:c r="L90" s="39"/>
      <x:c r="M90" s="39"/>
      <x:c r="N90" s="39"/>
      <x:c r="O90" s="39"/>
      <x:c r="P90" s="39"/>
      <x:c r="Q90" s="39"/>
      <x:c r="R90" s="39"/>
      <x:c r="S90" s="39"/>
      <x:c r="T90" s="39"/>
      <x:c r="U90" s="39"/>
      <x:c r="V90" s="39"/>
      <x:c r="W90" s="39"/>
      <x:c r="X90" s="39"/>
      <x:c r="Y90" s="39"/>
      <x:c r="Z90" s="39"/>
    </x:row>
    <x:row r="91">
      <x:c r="A91" s="43"/>
      <x:c r="B91" s="43"/>
      <x:c r="C91" s="43"/>
      <x:c r="D91" s="43"/>
      <x:c r="E91" s="43"/>
      <x:c r="F91" s="43"/>
      <x:c r="G91" s="43"/>
      <x:c r="H91" s="43"/>
      <x:c r="I91" s="39"/>
      <x:c r="J91" s="39"/>
      <x:c r="K91" s="39"/>
      <x:c r="L91" s="39"/>
      <x:c r="M91" s="39"/>
      <x:c r="N91" s="39"/>
      <x:c r="O91" s="39"/>
      <x:c r="P91" s="39"/>
      <x:c r="Q91" s="39"/>
      <x:c r="R91" s="39"/>
      <x:c r="S91" s="39"/>
      <x:c r="T91" s="39"/>
      <x:c r="U91" s="39"/>
      <x:c r="V91" s="39"/>
      <x:c r="W91" s="39"/>
      <x:c r="X91" s="39"/>
      <x:c r="Y91" s="39"/>
      <x:c r="Z91" s="39"/>
    </x:row>
    <x:row r="92">
      <x:c r="A92" s="43"/>
      <x:c r="B92" s="43"/>
      <x:c r="C92" s="43"/>
      <x:c r="D92" s="43"/>
      <x:c r="E92" s="43"/>
      <x:c r="F92" s="43"/>
      <x:c r="G92" s="43"/>
      <x:c r="H92" s="43"/>
      <x:c r="I92" s="39"/>
      <x:c r="J92" s="39"/>
      <x:c r="K92" s="39"/>
      <x:c r="L92" s="39"/>
      <x:c r="M92" s="39"/>
      <x:c r="N92" s="39"/>
      <x:c r="O92" s="39"/>
      <x:c r="P92" s="39"/>
      <x:c r="Q92" s="39"/>
      <x:c r="R92" s="39"/>
      <x:c r="S92" s="39"/>
      <x:c r="T92" s="39"/>
      <x:c r="U92" s="39"/>
      <x:c r="V92" s="39"/>
      <x:c r="W92" s="39"/>
      <x:c r="X92" s="39"/>
      <x:c r="Y92" s="39"/>
      <x:c r="Z92" s="39"/>
    </x:row>
    <x:row r="93">
      <x:c r="A93" s="43"/>
      <x:c r="B93" s="43"/>
      <x:c r="C93" s="43"/>
      <x:c r="D93" s="43"/>
      <x:c r="E93" s="43"/>
      <x:c r="F93" s="43"/>
      <x:c r="G93" s="43"/>
      <x:c r="H93" s="43"/>
      <x:c r="I93" s="39"/>
      <x:c r="J93" s="39"/>
      <x:c r="K93" s="39"/>
      <x:c r="L93" s="39"/>
      <x:c r="M93" s="39"/>
      <x:c r="N93" s="39"/>
      <x:c r="O93" s="39"/>
      <x:c r="P93" s="39"/>
      <x:c r="Q93" s="39"/>
      <x:c r="R93" s="39"/>
      <x:c r="S93" s="39"/>
      <x:c r="T93" s="39"/>
      <x:c r="U93" s="39"/>
      <x:c r="V93" s="39"/>
      <x:c r="W93" s="39"/>
      <x:c r="X93" s="39"/>
      <x:c r="Y93" s="39"/>
      <x:c r="Z93" s="39"/>
    </x:row>
    <x:row r="94">
      <x:c r="A94" s="43"/>
      <x:c r="B94" s="43"/>
      <x:c r="C94" s="43"/>
      <x:c r="D94" s="43"/>
      <x:c r="E94" s="43"/>
      <x:c r="F94" s="43"/>
      <x:c r="G94" s="43"/>
      <x:c r="H94" s="43"/>
      <x:c r="I94" s="39"/>
      <x:c r="J94" s="39"/>
      <x:c r="K94" s="39"/>
      <x:c r="L94" s="39"/>
      <x:c r="M94" s="39"/>
      <x:c r="N94" s="39"/>
      <x:c r="O94" s="39"/>
      <x:c r="P94" s="39"/>
      <x:c r="Q94" s="39"/>
      <x:c r="R94" s="39"/>
      <x:c r="S94" s="39"/>
      <x:c r="T94" s="39"/>
      <x:c r="U94" s="39"/>
      <x:c r="V94" s="39"/>
      <x:c r="W94" s="39"/>
      <x:c r="X94" s="39"/>
      <x:c r="Y94" s="39"/>
      <x:c r="Z94" s="39"/>
    </x:row>
    <x:row r="95">
      <x:c r="A95" s="43"/>
      <x:c r="B95" s="43"/>
      <x:c r="C95" s="43"/>
      <x:c r="D95" s="43"/>
      <x:c r="E95" s="43"/>
      <x:c r="F95" s="43"/>
      <x:c r="G95" s="43"/>
      <x:c r="H95" s="43"/>
      <x:c r="I95" s="39"/>
      <x:c r="J95" s="39"/>
      <x:c r="K95" s="39"/>
      <x:c r="L95" s="39"/>
      <x:c r="M95" s="39"/>
      <x:c r="N95" s="39"/>
      <x:c r="O95" s="39"/>
      <x:c r="P95" s="39"/>
      <x:c r="Q95" s="39"/>
      <x:c r="R95" s="39"/>
      <x:c r="S95" s="39"/>
      <x:c r="T95" s="39"/>
      <x:c r="U95" s="39"/>
      <x:c r="V95" s="39"/>
      <x:c r="W95" s="39"/>
      <x:c r="X95" s="39"/>
      <x:c r="Y95" s="39"/>
      <x:c r="Z95" s="39"/>
    </x:row>
    <x:row r="96">
      <x:c r="A96" s="43"/>
      <x:c r="B96" s="43"/>
      <x:c r="C96" s="43"/>
      <x:c r="D96" s="43"/>
      <x:c r="E96" s="43"/>
      <x:c r="F96" s="43"/>
      <x:c r="G96" s="43"/>
      <x:c r="H96" s="43"/>
      <x:c r="I96" s="39"/>
      <x:c r="J96" s="39"/>
      <x:c r="K96" s="39"/>
      <x:c r="L96" s="39"/>
      <x:c r="M96" s="39"/>
      <x:c r="N96" s="39"/>
      <x:c r="O96" s="39"/>
      <x:c r="P96" s="39"/>
      <x:c r="Q96" s="39"/>
      <x:c r="R96" s="39"/>
      <x:c r="S96" s="39"/>
      <x:c r="T96" s="39"/>
      <x:c r="U96" s="39"/>
      <x:c r="V96" s="39"/>
      <x:c r="W96" s="39"/>
      <x:c r="X96" s="39"/>
      <x:c r="Y96" s="39"/>
      <x:c r="Z96" s="39"/>
    </x:row>
    <x:row r="97">
      <x:c r="A97" s="43"/>
      <x:c r="B97" s="43"/>
      <x:c r="C97" s="43"/>
      <x:c r="D97" s="43"/>
      <x:c r="E97" s="43"/>
      <x:c r="F97" s="43"/>
      <x:c r="G97" s="43"/>
      <x:c r="H97" s="43"/>
      <x:c r="I97" s="39"/>
      <x:c r="J97" s="39"/>
      <x:c r="K97" s="39"/>
      <x:c r="L97" s="39"/>
      <x:c r="M97" s="39"/>
      <x:c r="N97" s="39"/>
      <x:c r="O97" s="39"/>
      <x:c r="P97" s="39"/>
      <x:c r="Q97" s="39"/>
      <x:c r="R97" s="39"/>
      <x:c r="S97" s="39"/>
      <x:c r="T97" s="39"/>
      <x:c r="U97" s="39"/>
      <x:c r="V97" s="39"/>
      <x:c r="W97" s="39"/>
      <x:c r="X97" s="39"/>
      <x:c r="Y97" s="39"/>
      <x:c r="Z97" s="39"/>
    </x:row>
    <x:row r="98">
      <x:c r="A98" s="43"/>
      <x:c r="B98" s="43"/>
      <x:c r="C98" s="43"/>
      <x:c r="D98" s="43"/>
      <x:c r="E98" s="43"/>
      <x:c r="F98" s="43"/>
      <x:c r="G98" s="43"/>
      <x:c r="H98" s="43"/>
      <x:c r="I98" s="39"/>
      <x:c r="J98" s="39"/>
      <x:c r="K98" s="39"/>
      <x:c r="L98" s="39"/>
      <x:c r="M98" s="39"/>
      <x:c r="N98" s="39"/>
      <x:c r="O98" s="39"/>
      <x:c r="P98" s="39"/>
      <x:c r="Q98" s="39"/>
      <x:c r="R98" s="39"/>
      <x:c r="S98" s="39"/>
      <x:c r="T98" s="39"/>
      <x:c r="U98" s="39"/>
      <x:c r="V98" s="39"/>
      <x:c r="W98" s="39"/>
      <x:c r="X98" s="39"/>
      <x:c r="Y98" s="39"/>
      <x:c r="Z98" s="39"/>
    </x:row>
    <x:row r="99">
      <x:c r="A99" s="43"/>
      <x:c r="B99" s="43"/>
      <x:c r="C99" s="43"/>
      <x:c r="D99" s="43"/>
      <x:c r="E99" s="43"/>
      <x:c r="F99" s="43"/>
      <x:c r="G99" s="43"/>
      <x:c r="H99" s="43"/>
      <x:c r="I99" s="39"/>
      <x:c r="J99" s="39"/>
      <x:c r="K99" s="39"/>
      <x:c r="L99" s="39"/>
      <x:c r="M99" s="39"/>
      <x:c r="N99" s="39"/>
      <x:c r="O99" s="39"/>
      <x:c r="P99" s="39"/>
      <x:c r="Q99" s="39"/>
      <x:c r="R99" s="39"/>
      <x:c r="S99" s="39"/>
      <x:c r="T99" s="39"/>
      <x:c r="U99" s="39"/>
      <x:c r="V99" s="39"/>
      <x:c r="W99" s="39"/>
      <x:c r="X99" s="39"/>
      <x:c r="Y99" s="39"/>
      <x:c r="Z99" s="39"/>
    </x:row>
    <x:row r="100">
      <x:c r="A100" s="43"/>
      <x:c r="B100" s="43"/>
      <x:c r="C100" s="43"/>
      <x:c r="D100" s="43"/>
      <x:c r="E100" s="43"/>
      <x:c r="F100" s="43"/>
      <x:c r="G100" s="43"/>
      <x:c r="H100" s="43"/>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worksheet>
</file>

<file path=xl/worksheets/sheet14.xml><?xml version="1.0" encoding="utf-8"?>
<x:worksheet xmlns:x="http://schemas.openxmlformats.org/spreadsheetml/2006/main">
  <x:sheetFormatPr defaultRowHeight="15"/>
  <x:cols>
    <x:col min="1" max="1" width="12" hidden="0" customWidth="1"/>
    <x:col min="2" max="2" width="14" hidden="0" customWidth="1"/>
    <x:col min="3" max="3" width="10" hidden="0" customWidth="1"/>
    <x:col min="4" max="4" width="36" hidden="0" customWidth="1"/>
    <x:col min="5" max="5" width="42" hidden="0" customWidth="1"/>
    <x:col min="6" max="6" width="36" hidden="0" customWidth="1"/>
    <x:col min="7" max="7" width="42" hidden="0" customWidth="1"/>
    <x:col min="8" max="8" width="14" hidden="0" customWidth="1"/>
    <x:col min="9" max="9" width="36" hidden="0" customWidth="1"/>
  </x:cols>
  <x:sheetData>
    <x:row r="1">
      <x:c r="A1" s="38" t="str">
        <x:v>Issue / Troubleshooting Log</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42" t="str">
        <x:v>Issue ID</x:v>
      </x:c>
      <x:c r="B3" s="42" t="str">
        <x:v>Date</x:v>
      </x:c>
      <x:c r="C3" s="42" t="str">
        <x:v>Step ID</x:v>
      </x:c>
      <x:c r="D3" s="42" t="str">
        <x:v>Problem</x:v>
      </x:c>
      <x:c r="E3" s="42" t="str">
        <x:v>Error / Symptom</x:v>
      </x:c>
      <x:c r="F3" s="42" t="str">
        <x:v>Root Cause</x:v>
      </x:c>
      <x:c r="G3" s="42" t="str">
        <x:v>Fix Applied</x:v>
      </x:c>
      <x:c r="H3" s="42" t="str">
        <x:v>Status</x:v>
      </x:c>
      <x:c r="I3" s="42" t="str">
        <x:v>Notes</x:v>
      </x:c>
      <x:c r="J3" s="39"/>
      <x:c r="K3" s="39"/>
      <x:c r="L3" s="39"/>
      <x:c r="M3" s="39"/>
      <x:c r="N3" s="39"/>
      <x:c r="O3" s="39"/>
      <x:c r="P3" s="39"/>
      <x:c r="Q3" s="39"/>
      <x:c r="R3" s="39"/>
      <x:c r="S3" s="39"/>
      <x:c r="T3" s="39"/>
      <x:c r="U3" s="39"/>
      <x:c r="V3" s="39"/>
      <x:c r="W3" s="39"/>
      <x:c r="X3" s="39"/>
      <x:c r="Y3" s="39"/>
      <x:c r="Z3" s="39"/>
    </x:row>
    <x:row r="4">
      <x:c r="A4" s="43"/>
      <x:c r="B4" s="43"/>
      <x:c r="C4" s="43"/>
      <x:c r="D4" s="43"/>
      <x:c r="E4" s="43"/>
      <x:c r="F4" s="43"/>
      <x:c r="G4" s="43"/>
      <x:c r="H4" s="43"/>
      <x:c r="I4" s="43"/>
      <x:c r="J4" s="39"/>
      <x:c r="K4" s="39"/>
      <x:c r="L4" s="39"/>
      <x:c r="M4" s="39"/>
      <x:c r="N4" s="39"/>
      <x:c r="O4" s="39"/>
      <x:c r="P4" s="39"/>
      <x:c r="Q4" s="39"/>
      <x:c r="R4" s="39"/>
      <x:c r="S4" s="39"/>
      <x:c r="T4" s="39"/>
      <x:c r="U4" s="39"/>
      <x:c r="V4" s="39"/>
      <x:c r="W4" s="39"/>
      <x:c r="X4" s="39"/>
      <x:c r="Y4" s="39"/>
      <x:c r="Z4" s="39"/>
    </x:row>
    <x:row r="5">
      <x:c r="A5" s="43"/>
      <x:c r="B5" s="43"/>
      <x:c r="C5" s="43"/>
      <x:c r="D5" s="43"/>
      <x:c r="E5" s="43"/>
      <x:c r="F5" s="43"/>
      <x:c r="G5" s="43"/>
      <x:c r="H5" s="43"/>
      <x:c r="I5" s="43"/>
      <x:c r="J5" s="39"/>
      <x:c r="K5" s="39"/>
      <x:c r="L5" s="39"/>
      <x:c r="M5" s="39"/>
      <x:c r="N5" s="39"/>
      <x:c r="O5" s="39"/>
      <x:c r="P5" s="39"/>
      <x:c r="Q5" s="39"/>
      <x:c r="R5" s="39"/>
      <x:c r="S5" s="39"/>
      <x:c r="T5" s="39"/>
      <x:c r="U5" s="39"/>
      <x:c r="V5" s="39"/>
      <x:c r="W5" s="39"/>
      <x:c r="X5" s="39"/>
      <x:c r="Y5" s="39"/>
      <x:c r="Z5" s="39"/>
    </x:row>
    <x:row r="6">
      <x:c r="A6" s="43"/>
      <x:c r="B6" s="43"/>
      <x:c r="C6" s="43"/>
      <x:c r="D6" s="43"/>
      <x:c r="E6" s="43"/>
      <x:c r="F6" s="43"/>
      <x:c r="G6" s="43"/>
      <x:c r="H6" s="43"/>
      <x:c r="I6" s="43"/>
      <x:c r="J6" s="39"/>
      <x:c r="K6" s="39"/>
      <x:c r="L6" s="39"/>
      <x:c r="M6" s="39"/>
      <x:c r="N6" s="39"/>
      <x:c r="O6" s="39"/>
      <x:c r="P6" s="39"/>
      <x:c r="Q6" s="39"/>
      <x:c r="R6" s="39"/>
      <x:c r="S6" s="39"/>
      <x:c r="T6" s="39"/>
      <x:c r="U6" s="39"/>
      <x:c r="V6" s="39"/>
      <x:c r="W6" s="39"/>
      <x:c r="X6" s="39"/>
      <x:c r="Y6" s="39"/>
      <x:c r="Z6" s="39"/>
    </x:row>
    <x:row r="7">
      <x:c r="A7" s="43"/>
      <x:c r="B7" s="43"/>
      <x:c r="C7" s="43"/>
      <x:c r="D7" s="43"/>
      <x:c r="E7" s="43"/>
      <x:c r="F7" s="43"/>
      <x:c r="G7" s="43"/>
      <x:c r="H7" s="43"/>
      <x:c r="I7" s="43"/>
      <x:c r="J7" s="39"/>
      <x:c r="K7" s="39"/>
      <x:c r="L7" s="39"/>
      <x:c r="M7" s="39"/>
      <x:c r="N7" s="39"/>
      <x:c r="O7" s="39"/>
      <x:c r="P7" s="39"/>
      <x:c r="Q7" s="39"/>
      <x:c r="R7" s="39"/>
      <x:c r="S7" s="39"/>
      <x:c r="T7" s="39"/>
      <x:c r="U7" s="39"/>
      <x:c r="V7" s="39"/>
      <x:c r="W7" s="39"/>
      <x:c r="X7" s="39"/>
      <x:c r="Y7" s="39"/>
      <x:c r="Z7" s="39"/>
    </x:row>
    <x:row r="8">
      <x:c r="A8" s="43"/>
      <x:c r="B8" s="43"/>
      <x:c r="C8" s="43"/>
      <x:c r="D8" s="43"/>
      <x:c r="E8" s="43"/>
      <x:c r="F8" s="43"/>
      <x:c r="G8" s="43"/>
      <x:c r="H8" s="43"/>
      <x:c r="I8" s="43"/>
      <x:c r="J8" s="39"/>
      <x:c r="K8" s="39"/>
      <x:c r="L8" s="39"/>
      <x:c r="M8" s="39"/>
      <x:c r="N8" s="39"/>
      <x:c r="O8" s="39"/>
      <x:c r="P8" s="39"/>
      <x:c r="Q8" s="39"/>
      <x:c r="R8" s="39"/>
      <x:c r="S8" s="39"/>
      <x:c r="T8" s="39"/>
      <x:c r="U8" s="39"/>
      <x:c r="V8" s="39"/>
      <x:c r="W8" s="39"/>
      <x:c r="X8" s="39"/>
      <x:c r="Y8" s="39"/>
      <x:c r="Z8" s="39"/>
    </x:row>
    <x:row r="9">
      <x:c r="A9" s="43"/>
      <x:c r="B9" s="43"/>
      <x:c r="C9" s="43"/>
      <x:c r="D9" s="43"/>
      <x:c r="E9" s="43"/>
      <x:c r="F9" s="43"/>
      <x:c r="G9" s="43"/>
      <x:c r="H9" s="43"/>
      <x:c r="I9" s="43"/>
      <x:c r="J9" s="39"/>
      <x:c r="K9" s="39"/>
      <x:c r="L9" s="39"/>
      <x:c r="M9" s="39"/>
      <x:c r="N9" s="39"/>
      <x:c r="O9" s="39"/>
      <x:c r="P9" s="39"/>
      <x:c r="Q9" s="39"/>
      <x:c r="R9" s="39"/>
      <x:c r="S9" s="39"/>
      <x:c r="T9" s="39"/>
      <x:c r="U9" s="39"/>
      <x:c r="V9" s="39"/>
      <x:c r="W9" s="39"/>
      <x:c r="X9" s="39"/>
      <x:c r="Y9" s="39"/>
      <x:c r="Z9" s="39"/>
    </x:row>
    <x:row r="10">
      <x:c r="A10" s="43"/>
      <x:c r="B10" s="43"/>
      <x:c r="C10" s="43"/>
      <x:c r="D10" s="43"/>
      <x:c r="E10" s="43"/>
      <x:c r="F10" s="43"/>
      <x:c r="G10" s="43"/>
      <x:c r="H10" s="43"/>
      <x:c r="I10" s="43"/>
      <x:c r="J10" s="39"/>
      <x:c r="K10" s="39"/>
      <x:c r="L10" s="39"/>
      <x:c r="M10" s="39"/>
      <x:c r="N10" s="39"/>
      <x:c r="O10" s="39"/>
      <x:c r="P10" s="39"/>
      <x:c r="Q10" s="39"/>
      <x:c r="R10" s="39"/>
      <x:c r="S10" s="39"/>
      <x:c r="T10" s="39"/>
      <x:c r="U10" s="39"/>
      <x:c r="V10" s="39"/>
      <x:c r="W10" s="39"/>
      <x:c r="X10" s="39"/>
      <x:c r="Y10" s="39"/>
      <x:c r="Z10" s="39"/>
    </x:row>
    <x:row r="11">
      <x:c r="A11" s="43"/>
      <x:c r="B11" s="43"/>
      <x:c r="C11" s="43"/>
      <x:c r="D11" s="43"/>
      <x:c r="E11" s="43"/>
      <x:c r="F11" s="43"/>
      <x:c r="G11" s="43"/>
      <x:c r="H11" s="43"/>
      <x:c r="I11" s="43"/>
      <x:c r="J11" s="39"/>
      <x:c r="K11" s="39"/>
      <x:c r="L11" s="39"/>
      <x:c r="M11" s="39"/>
      <x:c r="N11" s="39"/>
      <x:c r="O11" s="39"/>
      <x:c r="P11" s="39"/>
      <x:c r="Q11" s="39"/>
      <x:c r="R11" s="39"/>
      <x:c r="S11" s="39"/>
      <x:c r="T11" s="39"/>
      <x:c r="U11" s="39"/>
      <x:c r="V11" s="39"/>
      <x:c r="W11" s="39"/>
      <x:c r="X11" s="39"/>
      <x:c r="Y11" s="39"/>
      <x:c r="Z11" s="39"/>
    </x:row>
    <x:row r="12">
      <x:c r="A12" s="43"/>
      <x:c r="B12" s="43"/>
      <x:c r="C12" s="43"/>
      <x:c r="D12" s="43"/>
      <x:c r="E12" s="43"/>
      <x:c r="F12" s="43"/>
      <x:c r="G12" s="43"/>
      <x:c r="H12" s="43"/>
      <x:c r="I12" s="43"/>
      <x:c r="J12" s="39"/>
      <x:c r="K12" s="39"/>
      <x:c r="L12" s="39"/>
      <x:c r="M12" s="39"/>
      <x:c r="N12" s="39"/>
      <x:c r="O12" s="39"/>
      <x:c r="P12" s="39"/>
      <x:c r="Q12" s="39"/>
      <x:c r="R12" s="39"/>
      <x:c r="S12" s="39"/>
      <x:c r="T12" s="39"/>
      <x:c r="U12" s="39"/>
      <x:c r="V12" s="39"/>
      <x:c r="W12" s="39"/>
      <x:c r="X12" s="39"/>
      <x:c r="Y12" s="39"/>
      <x:c r="Z12" s="39"/>
    </x:row>
    <x:row r="13">
      <x:c r="A13" s="43"/>
      <x:c r="B13" s="43"/>
      <x:c r="C13" s="43"/>
      <x:c r="D13" s="43"/>
      <x:c r="E13" s="43"/>
      <x:c r="F13" s="43"/>
      <x:c r="G13" s="43"/>
      <x:c r="H13" s="43"/>
      <x:c r="I13" s="43"/>
      <x:c r="J13" s="39"/>
      <x:c r="K13" s="39"/>
      <x:c r="L13" s="39"/>
      <x:c r="M13" s="39"/>
      <x:c r="N13" s="39"/>
      <x:c r="O13" s="39"/>
      <x:c r="P13" s="39"/>
      <x:c r="Q13" s="39"/>
      <x:c r="R13" s="39"/>
      <x:c r="S13" s="39"/>
      <x:c r="T13" s="39"/>
      <x:c r="U13" s="39"/>
      <x:c r="V13" s="39"/>
      <x:c r="W13" s="39"/>
      <x:c r="X13" s="39"/>
      <x:c r="Y13" s="39"/>
      <x:c r="Z13" s="39"/>
    </x:row>
    <x:row r="14">
      <x:c r="A14" s="43"/>
      <x:c r="B14" s="43"/>
      <x:c r="C14" s="43"/>
      <x:c r="D14" s="43"/>
      <x:c r="E14" s="43"/>
      <x:c r="F14" s="43"/>
      <x:c r="G14" s="43"/>
      <x:c r="H14" s="43"/>
      <x:c r="I14" s="43"/>
      <x:c r="J14" s="39"/>
      <x:c r="K14" s="39"/>
      <x:c r="L14" s="39"/>
      <x:c r="M14" s="39"/>
      <x:c r="N14" s="39"/>
      <x:c r="O14" s="39"/>
      <x:c r="P14" s="39"/>
      <x:c r="Q14" s="39"/>
      <x:c r="R14" s="39"/>
      <x:c r="S14" s="39"/>
      <x:c r="T14" s="39"/>
      <x:c r="U14" s="39"/>
      <x:c r="V14" s="39"/>
      <x:c r="W14" s="39"/>
      <x:c r="X14" s="39"/>
      <x:c r="Y14" s="39"/>
      <x:c r="Z14" s="39"/>
    </x:row>
    <x:row r="15">
      <x:c r="A15" s="43"/>
      <x:c r="B15" s="43"/>
      <x:c r="C15" s="43"/>
      <x:c r="D15" s="43"/>
      <x:c r="E15" s="43"/>
      <x:c r="F15" s="43"/>
      <x:c r="G15" s="43"/>
      <x:c r="H15" s="43"/>
      <x:c r="I15" s="43"/>
      <x:c r="J15" s="39"/>
      <x:c r="K15" s="39"/>
      <x:c r="L15" s="39"/>
      <x:c r="M15" s="39"/>
      <x:c r="N15" s="39"/>
      <x:c r="O15" s="39"/>
      <x:c r="P15" s="39"/>
      <x:c r="Q15" s="39"/>
      <x:c r="R15" s="39"/>
      <x:c r="S15" s="39"/>
      <x:c r="T15" s="39"/>
      <x:c r="U15" s="39"/>
      <x:c r="V15" s="39"/>
      <x:c r="W15" s="39"/>
      <x:c r="X15" s="39"/>
      <x:c r="Y15" s="39"/>
      <x:c r="Z15" s="39"/>
    </x:row>
    <x:row r="16">
      <x:c r="A16" s="43"/>
      <x:c r="B16" s="43"/>
      <x:c r="C16" s="43"/>
      <x:c r="D16" s="43"/>
      <x:c r="E16" s="43"/>
      <x:c r="F16" s="43"/>
      <x:c r="G16" s="43"/>
      <x:c r="H16" s="43"/>
      <x:c r="I16" s="43"/>
      <x:c r="J16" s="39"/>
      <x:c r="K16" s="39"/>
      <x:c r="L16" s="39"/>
      <x:c r="M16" s="39"/>
      <x:c r="N16" s="39"/>
      <x:c r="O16" s="39"/>
      <x:c r="P16" s="39"/>
      <x:c r="Q16" s="39"/>
      <x:c r="R16" s="39"/>
      <x:c r="S16" s="39"/>
      <x:c r="T16" s="39"/>
      <x:c r="U16" s="39"/>
      <x:c r="V16" s="39"/>
      <x:c r="W16" s="39"/>
      <x:c r="X16" s="39"/>
      <x:c r="Y16" s="39"/>
      <x:c r="Z16" s="39"/>
    </x:row>
    <x:row r="17">
      <x:c r="A17" s="43"/>
      <x:c r="B17" s="43"/>
      <x:c r="C17" s="43"/>
      <x:c r="D17" s="43"/>
      <x:c r="E17" s="43"/>
      <x:c r="F17" s="43"/>
      <x:c r="G17" s="43"/>
      <x:c r="H17" s="43"/>
      <x:c r="I17" s="43"/>
      <x:c r="J17" s="39"/>
      <x:c r="K17" s="39"/>
      <x:c r="L17" s="39"/>
      <x:c r="M17" s="39"/>
      <x:c r="N17" s="39"/>
      <x:c r="O17" s="39"/>
      <x:c r="P17" s="39"/>
      <x:c r="Q17" s="39"/>
      <x:c r="R17" s="39"/>
      <x:c r="S17" s="39"/>
      <x:c r="T17" s="39"/>
      <x:c r="U17" s="39"/>
      <x:c r="V17" s="39"/>
      <x:c r="W17" s="39"/>
      <x:c r="X17" s="39"/>
      <x:c r="Y17" s="39"/>
      <x:c r="Z17" s="39"/>
    </x:row>
    <x:row r="18">
      <x:c r="A18" s="43"/>
      <x:c r="B18" s="43"/>
      <x:c r="C18" s="43"/>
      <x:c r="D18" s="43"/>
      <x:c r="E18" s="43"/>
      <x:c r="F18" s="43"/>
      <x:c r="G18" s="43"/>
      <x:c r="H18" s="43"/>
      <x:c r="I18" s="43"/>
      <x:c r="J18" s="39"/>
      <x:c r="K18" s="39"/>
      <x:c r="L18" s="39"/>
      <x:c r="M18" s="39"/>
      <x:c r="N18" s="39"/>
      <x:c r="O18" s="39"/>
      <x:c r="P18" s="39"/>
      <x:c r="Q18" s="39"/>
      <x:c r="R18" s="39"/>
      <x:c r="S18" s="39"/>
      <x:c r="T18" s="39"/>
      <x:c r="U18" s="39"/>
      <x:c r="V18" s="39"/>
      <x:c r="W18" s="39"/>
      <x:c r="X18" s="39"/>
      <x:c r="Y18" s="39"/>
      <x:c r="Z18" s="39"/>
    </x:row>
    <x:row r="19">
      <x:c r="A19" s="43"/>
      <x:c r="B19" s="43"/>
      <x:c r="C19" s="43"/>
      <x:c r="D19" s="43"/>
      <x:c r="E19" s="43"/>
      <x:c r="F19" s="43"/>
      <x:c r="G19" s="43"/>
      <x:c r="H19" s="43"/>
      <x:c r="I19" s="43"/>
      <x:c r="J19" s="39"/>
      <x:c r="K19" s="39"/>
      <x:c r="L19" s="39"/>
      <x:c r="M19" s="39"/>
      <x:c r="N19" s="39"/>
      <x:c r="O19" s="39"/>
      <x:c r="P19" s="39"/>
      <x:c r="Q19" s="39"/>
      <x:c r="R19" s="39"/>
      <x:c r="S19" s="39"/>
      <x:c r="T19" s="39"/>
      <x:c r="U19" s="39"/>
      <x:c r="V19" s="39"/>
      <x:c r="W19" s="39"/>
      <x:c r="X19" s="39"/>
      <x:c r="Y19" s="39"/>
      <x:c r="Z19" s="39"/>
    </x:row>
    <x:row r="20">
      <x:c r="A20" s="43"/>
      <x:c r="B20" s="43"/>
      <x:c r="C20" s="43"/>
      <x:c r="D20" s="43"/>
      <x:c r="E20" s="43"/>
      <x:c r="F20" s="43"/>
      <x:c r="G20" s="43"/>
      <x:c r="H20" s="43"/>
      <x:c r="I20" s="43"/>
      <x:c r="J20" s="39"/>
      <x:c r="K20" s="39"/>
      <x:c r="L20" s="39"/>
      <x:c r="M20" s="39"/>
      <x:c r="N20" s="39"/>
      <x:c r="O20" s="39"/>
      <x:c r="P20" s="39"/>
      <x:c r="Q20" s="39"/>
      <x:c r="R20" s="39"/>
      <x:c r="S20" s="39"/>
      <x:c r="T20" s="39"/>
      <x:c r="U20" s="39"/>
      <x:c r="V20" s="39"/>
      <x:c r="W20" s="39"/>
      <x:c r="X20" s="39"/>
      <x:c r="Y20" s="39"/>
      <x:c r="Z20" s="39"/>
    </x:row>
    <x:row r="21">
      <x:c r="A21" s="43"/>
      <x:c r="B21" s="43"/>
      <x:c r="C21" s="43"/>
      <x:c r="D21" s="43"/>
      <x:c r="E21" s="43"/>
      <x:c r="F21" s="43"/>
      <x:c r="G21" s="43"/>
      <x:c r="H21" s="43"/>
      <x:c r="I21" s="43"/>
      <x:c r="J21" s="39"/>
      <x:c r="K21" s="39"/>
      <x:c r="L21" s="39"/>
      <x:c r="M21" s="39"/>
      <x:c r="N21" s="39"/>
      <x:c r="O21" s="39"/>
      <x:c r="P21" s="39"/>
      <x:c r="Q21" s="39"/>
      <x:c r="R21" s="39"/>
      <x:c r="S21" s="39"/>
      <x:c r="T21" s="39"/>
      <x:c r="U21" s="39"/>
      <x:c r="V21" s="39"/>
      <x:c r="W21" s="39"/>
      <x:c r="X21" s="39"/>
      <x:c r="Y21" s="39"/>
      <x:c r="Z21" s="39"/>
    </x:row>
    <x:row r="22">
      <x:c r="A22" s="43"/>
      <x:c r="B22" s="43"/>
      <x:c r="C22" s="43"/>
      <x:c r="D22" s="43"/>
      <x:c r="E22" s="43"/>
      <x:c r="F22" s="43"/>
      <x:c r="G22" s="43"/>
      <x:c r="H22" s="43"/>
      <x:c r="I22" s="43"/>
      <x:c r="J22" s="39"/>
      <x:c r="K22" s="39"/>
      <x:c r="L22" s="39"/>
      <x:c r="M22" s="39"/>
      <x:c r="N22" s="39"/>
      <x:c r="O22" s="39"/>
      <x:c r="P22" s="39"/>
      <x:c r="Q22" s="39"/>
      <x:c r="R22" s="39"/>
      <x:c r="S22" s="39"/>
      <x:c r="T22" s="39"/>
      <x:c r="U22" s="39"/>
      <x:c r="V22" s="39"/>
      <x:c r="W22" s="39"/>
      <x:c r="X22" s="39"/>
      <x:c r="Y22" s="39"/>
      <x:c r="Z22" s="39"/>
    </x:row>
    <x:row r="23">
      <x:c r="A23" s="43"/>
      <x:c r="B23" s="43"/>
      <x:c r="C23" s="43"/>
      <x:c r="D23" s="43"/>
      <x:c r="E23" s="43"/>
      <x:c r="F23" s="43"/>
      <x:c r="G23" s="43"/>
      <x:c r="H23" s="43"/>
      <x:c r="I23" s="43"/>
      <x:c r="J23" s="39"/>
      <x:c r="K23" s="39"/>
      <x:c r="L23" s="39"/>
      <x:c r="M23" s="39"/>
      <x:c r="N23" s="39"/>
      <x:c r="O23" s="39"/>
      <x:c r="P23" s="39"/>
      <x:c r="Q23" s="39"/>
      <x:c r="R23" s="39"/>
      <x:c r="S23" s="39"/>
      <x:c r="T23" s="39"/>
      <x:c r="U23" s="39"/>
      <x:c r="V23" s="39"/>
      <x:c r="W23" s="39"/>
      <x:c r="X23" s="39"/>
      <x:c r="Y23" s="39"/>
      <x:c r="Z23" s="39"/>
    </x:row>
    <x:row r="24">
      <x:c r="A24" s="43"/>
      <x:c r="B24" s="43"/>
      <x:c r="C24" s="43"/>
      <x:c r="D24" s="43"/>
      <x:c r="E24" s="43"/>
      <x:c r="F24" s="43"/>
      <x:c r="G24" s="43"/>
      <x:c r="H24" s="43"/>
      <x:c r="I24" s="43"/>
      <x:c r="J24" s="39"/>
      <x:c r="K24" s="39"/>
      <x:c r="L24" s="39"/>
      <x:c r="M24" s="39"/>
      <x:c r="N24" s="39"/>
      <x:c r="O24" s="39"/>
      <x:c r="P24" s="39"/>
      <x:c r="Q24" s="39"/>
      <x:c r="R24" s="39"/>
      <x:c r="S24" s="39"/>
      <x:c r="T24" s="39"/>
      <x:c r="U24" s="39"/>
      <x:c r="V24" s="39"/>
      <x:c r="W24" s="39"/>
      <x:c r="X24" s="39"/>
      <x:c r="Y24" s="39"/>
      <x:c r="Z24" s="39"/>
    </x:row>
    <x:row r="25">
      <x:c r="A25" s="43"/>
      <x:c r="B25" s="43"/>
      <x:c r="C25" s="43"/>
      <x:c r="D25" s="43"/>
      <x:c r="E25" s="43"/>
      <x:c r="F25" s="43"/>
      <x:c r="G25" s="43"/>
      <x:c r="H25" s="43"/>
      <x:c r="I25" s="43"/>
      <x:c r="J25" s="39"/>
      <x:c r="K25" s="39"/>
      <x:c r="L25" s="39"/>
      <x:c r="M25" s="39"/>
      <x:c r="N25" s="39"/>
      <x:c r="O25" s="39"/>
      <x:c r="P25" s="39"/>
      <x:c r="Q25" s="39"/>
      <x:c r="R25" s="39"/>
      <x:c r="S25" s="39"/>
      <x:c r="T25" s="39"/>
      <x:c r="U25" s="39"/>
      <x:c r="V25" s="39"/>
      <x:c r="W25" s="39"/>
      <x:c r="X25" s="39"/>
      <x:c r="Y25" s="39"/>
      <x:c r="Z25" s="39"/>
    </x:row>
    <x:row r="26">
      <x:c r="A26" s="43"/>
      <x:c r="B26" s="43"/>
      <x:c r="C26" s="43"/>
      <x:c r="D26" s="43"/>
      <x:c r="E26" s="43"/>
      <x:c r="F26" s="43"/>
      <x:c r="G26" s="43"/>
      <x:c r="H26" s="43"/>
      <x:c r="I26" s="43"/>
      <x:c r="J26" s="39"/>
      <x:c r="K26" s="39"/>
      <x:c r="L26" s="39"/>
      <x:c r="M26" s="39"/>
      <x:c r="N26" s="39"/>
      <x:c r="O26" s="39"/>
      <x:c r="P26" s="39"/>
      <x:c r="Q26" s="39"/>
      <x:c r="R26" s="39"/>
      <x:c r="S26" s="39"/>
      <x:c r="T26" s="39"/>
      <x:c r="U26" s="39"/>
      <x:c r="V26" s="39"/>
      <x:c r="W26" s="39"/>
      <x:c r="X26" s="39"/>
      <x:c r="Y26" s="39"/>
      <x:c r="Z26" s="39"/>
    </x:row>
    <x:row r="27">
      <x:c r="A27" s="43"/>
      <x:c r="B27" s="43"/>
      <x:c r="C27" s="43"/>
      <x:c r="D27" s="43"/>
      <x:c r="E27" s="43"/>
      <x:c r="F27" s="43"/>
      <x:c r="G27" s="43"/>
      <x:c r="H27" s="43"/>
      <x:c r="I27" s="43"/>
      <x:c r="J27" s="39"/>
      <x:c r="K27" s="39"/>
      <x:c r="L27" s="39"/>
      <x:c r="M27" s="39"/>
      <x:c r="N27" s="39"/>
      <x:c r="O27" s="39"/>
      <x:c r="P27" s="39"/>
      <x:c r="Q27" s="39"/>
      <x:c r="R27" s="39"/>
      <x:c r="S27" s="39"/>
      <x:c r="T27" s="39"/>
      <x:c r="U27" s="39"/>
      <x:c r="V27" s="39"/>
      <x:c r="W27" s="39"/>
      <x:c r="X27" s="39"/>
      <x:c r="Y27" s="39"/>
      <x:c r="Z27" s="39"/>
    </x:row>
    <x:row r="28">
      <x:c r="A28" s="43"/>
      <x:c r="B28" s="43"/>
      <x:c r="C28" s="43"/>
      <x:c r="D28" s="43"/>
      <x:c r="E28" s="43"/>
      <x:c r="F28" s="43"/>
      <x:c r="G28" s="43"/>
      <x:c r="H28" s="43"/>
      <x:c r="I28" s="43"/>
      <x:c r="J28" s="39"/>
      <x:c r="K28" s="39"/>
      <x:c r="L28" s="39"/>
      <x:c r="M28" s="39"/>
      <x:c r="N28" s="39"/>
      <x:c r="O28" s="39"/>
      <x:c r="P28" s="39"/>
      <x:c r="Q28" s="39"/>
      <x:c r="R28" s="39"/>
      <x:c r="S28" s="39"/>
      <x:c r="T28" s="39"/>
      <x:c r="U28" s="39"/>
      <x:c r="V28" s="39"/>
      <x:c r="W28" s="39"/>
      <x:c r="X28" s="39"/>
      <x:c r="Y28" s="39"/>
      <x:c r="Z28" s="39"/>
    </x:row>
    <x:row r="29">
      <x:c r="A29" s="43"/>
      <x:c r="B29" s="43"/>
      <x:c r="C29" s="43"/>
      <x:c r="D29" s="43"/>
      <x:c r="E29" s="43"/>
      <x:c r="F29" s="43"/>
      <x:c r="G29" s="43"/>
      <x:c r="H29" s="43"/>
      <x:c r="I29" s="43"/>
      <x:c r="J29" s="39"/>
      <x:c r="K29" s="39"/>
      <x:c r="L29" s="39"/>
      <x:c r="M29" s="39"/>
      <x:c r="N29" s="39"/>
      <x:c r="O29" s="39"/>
      <x:c r="P29" s="39"/>
      <x:c r="Q29" s="39"/>
      <x:c r="R29" s="39"/>
      <x:c r="S29" s="39"/>
      <x:c r="T29" s="39"/>
      <x:c r="U29" s="39"/>
      <x:c r="V29" s="39"/>
      <x:c r="W29" s="39"/>
      <x:c r="X29" s="39"/>
      <x:c r="Y29" s="39"/>
      <x:c r="Z29" s="39"/>
    </x:row>
    <x:row r="30">
      <x:c r="A30" s="43"/>
      <x:c r="B30" s="43"/>
      <x:c r="C30" s="43"/>
      <x:c r="D30" s="43"/>
      <x:c r="E30" s="43"/>
      <x:c r="F30" s="43"/>
      <x:c r="G30" s="43"/>
      <x:c r="H30" s="43"/>
      <x:c r="I30" s="43"/>
      <x:c r="J30" s="39"/>
      <x:c r="K30" s="39"/>
      <x:c r="L30" s="39"/>
      <x:c r="M30" s="39"/>
      <x:c r="N30" s="39"/>
      <x:c r="O30" s="39"/>
      <x:c r="P30" s="39"/>
      <x:c r="Q30" s="39"/>
      <x:c r="R30" s="39"/>
      <x:c r="S30" s="39"/>
      <x:c r="T30" s="39"/>
      <x:c r="U30" s="39"/>
      <x:c r="V30" s="39"/>
      <x:c r="W30" s="39"/>
      <x:c r="X30" s="39"/>
      <x:c r="Y30" s="39"/>
      <x:c r="Z30" s="39"/>
    </x:row>
    <x:row r="31">
      <x:c r="A31" s="43"/>
      <x:c r="B31" s="43"/>
      <x:c r="C31" s="43"/>
      <x:c r="D31" s="43"/>
      <x:c r="E31" s="43"/>
      <x:c r="F31" s="43"/>
      <x:c r="G31" s="43"/>
      <x:c r="H31" s="43"/>
      <x:c r="I31" s="43"/>
      <x:c r="J31" s="39"/>
      <x:c r="K31" s="39"/>
      <x:c r="L31" s="39"/>
      <x:c r="M31" s="39"/>
      <x:c r="N31" s="39"/>
      <x:c r="O31" s="39"/>
      <x:c r="P31" s="39"/>
      <x:c r="Q31" s="39"/>
      <x:c r="R31" s="39"/>
      <x:c r="S31" s="39"/>
      <x:c r="T31" s="39"/>
      <x:c r="U31" s="39"/>
      <x:c r="V31" s="39"/>
      <x:c r="W31" s="39"/>
      <x:c r="X31" s="39"/>
      <x:c r="Y31" s="39"/>
      <x:c r="Z31" s="39"/>
    </x:row>
    <x:row r="32">
      <x:c r="A32" s="43"/>
      <x:c r="B32" s="43"/>
      <x:c r="C32" s="43"/>
      <x:c r="D32" s="43"/>
      <x:c r="E32" s="43"/>
      <x:c r="F32" s="43"/>
      <x:c r="G32" s="43"/>
      <x:c r="H32" s="43"/>
      <x:c r="I32" s="43"/>
      <x:c r="J32" s="39"/>
      <x:c r="K32" s="39"/>
      <x:c r="L32" s="39"/>
      <x:c r="M32" s="39"/>
      <x:c r="N32" s="39"/>
      <x:c r="O32" s="39"/>
      <x:c r="P32" s="39"/>
      <x:c r="Q32" s="39"/>
      <x:c r="R32" s="39"/>
      <x:c r="S32" s="39"/>
      <x:c r="T32" s="39"/>
      <x:c r="U32" s="39"/>
      <x:c r="V32" s="39"/>
      <x:c r="W32" s="39"/>
      <x:c r="X32" s="39"/>
      <x:c r="Y32" s="39"/>
      <x:c r="Z32" s="39"/>
    </x:row>
    <x:row r="33">
      <x:c r="A33" s="43"/>
      <x:c r="B33" s="43"/>
      <x:c r="C33" s="43"/>
      <x:c r="D33" s="43"/>
      <x:c r="E33" s="43"/>
      <x:c r="F33" s="43"/>
      <x:c r="G33" s="43"/>
      <x:c r="H33" s="43"/>
      <x:c r="I33" s="43"/>
      <x:c r="J33" s="39"/>
      <x:c r="K33" s="39"/>
      <x:c r="L33" s="39"/>
      <x:c r="M33" s="39"/>
      <x:c r="N33" s="39"/>
      <x:c r="O33" s="39"/>
      <x:c r="P33" s="39"/>
      <x:c r="Q33" s="39"/>
      <x:c r="R33" s="39"/>
      <x:c r="S33" s="39"/>
      <x:c r="T33" s="39"/>
      <x:c r="U33" s="39"/>
      <x:c r="V33" s="39"/>
      <x:c r="W33" s="39"/>
      <x:c r="X33" s="39"/>
      <x:c r="Y33" s="39"/>
      <x:c r="Z33" s="39"/>
    </x:row>
    <x:row r="34">
      <x:c r="A34" s="43"/>
      <x:c r="B34" s="43"/>
      <x:c r="C34" s="43"/>
      <x:c r="D34" s="43"/>
      <x:c r="E34" s="43"/>
      <x:c r="F34" s="43"/>
      <x:c r="G34" s="43"/>
      <x:c r="H34" s="43"/>
      <x:c r="I34" s="43"/>
      <x:c r="J34" s="39"/>
      <x:c r="K34" s="39"/>
      <x:c r="L34" s="39"/>
      <x:c r="M34" s="39"/>
      <x:c r="N34" s="39"/>
      <x:c r="O34" s="39"/>
      <x:c r="P34" s="39"/>
      <x:c r="Q34" s="39"/>
      <x:c r="R34" s="39"/>
      <x:c r="S34" s="39"/>
      <x:c r="T34" s="39"/>
      <x:c r="U34" s="39"/>
      <x:c r="V34" s="39"/>
      <x:c r="W34" s="39"/>
      <x:c r="X34" s="39"/>
      <x:c r="Y34" s="39"/>
      <x:c r="Z34" s="39"/>
    </x:row>
    <x:row r="35">
      <x:c r="A35" s="43"/>
      <x:c r="B35" s="43"/>
      <x:c r="C35" s="43"/>
      <x:c r="D35" s="43"/>
      <x:c r="E35" s="43"/>
      <x:c r="F35" s="43"/>
      <x:c r="G35" s="43"/>
      <x:c r="H35" s="43"/>
      <x:c r="I35" s="43"/>
      <x:c r="J35" s="39"/>
      <x:c r="K35" s="39"/>
      <x:c r="L35" s="39"/>
      <x:c r="M35" s="39"/>
      <x:c r="N35" s="39"/>
      <x:c r="O35" s="39"/>
      <x:c r="P35" s="39"/>
      <x:c r="Q35" s="39"/>
      <x:c r="R35" s="39"/>
      <x:c r="S35" s="39"/>
      <x:c r="T35" s="39"/>
      <x:c r="U35" s="39"/>
      <x:c r="V35" s="39"/>
      <x:c r="W35" s="39"/>
      <x:c r="X35" s="39"/>
      <x:c r="Y35" s="39"/>
      <x:c r="Z35" s="39"/>
    </x:row>
    <x:row r="36">
      <x:c r="A36" s="43"/>
      <x:c r="B36" s="43"/>
      <x:c r="C36" s="43"/>
      <x:c r="D36" s="43"/>
      <x:c r="E36" s="43"/>
      <x:c r="F36" s="43"/>
      <x:c r="G36" s="43"/>
      <x:c r="H36" s="43"/>
      <x:c r="I36" s="43"/>
      <x:c r="J36" s="39"/>
      <x:c r="K36" s="39"/>
      <x:c r="L36" s="39"/>
      <x:c r="M36" s="39"/>
      <x:c r="N36" s="39"/>
      <x:c r="O36" s="39"/>
      <x:c r="P36" s="39"/>
      <x:c r="Q36" s="39"/>
      <x:c r="R36" s="39"/>
      <x:c r="S36" s="39"/>
      <x:c r="T36" s="39"/>
      <x:c r="U36" s="39"/>
      <x:c r="V36" s="39"/>
      <x:c r="W36" s="39"/>
      <x:c r="X36" s="39"/>
      <x:c r="Y36" s="39"/>
      <x:c r="Z36" s="39"/>
    </x:row>
    <x:row r="37">
      <x:c r="A37" s="43"/>
      <x:c r="B37" s="43"/>
      <x:c r="C37" s="43"/>
      <x:c r="D37" s="43"/>
      <x:c r="E37" s="43"/>
      <x:c r="F37" s="43"/>
      <x:c r="G37" s="43"/>
      <x:c r="H37" s="43"/>
      <x:c r="I37" s="43"/>
      <x:c r="J37" s="39"/>
      <x:c r="K37" s="39"/>
      <x:c r="L37" s="39"/>
      <x:c r="M37" s="39"/>
      <x:c r="N37" s="39"/>
      <x:c r="O37" s="39"/>
      <x:c r="P37" s="39"/>
      <x:c r="Q37" s="39"/>
      <x:c r="R37" s="39"/>
      <x:c r="S37" s="39"/>
      <x:c r="T37" s="39"/>
      <x:c r="U37" s="39"/>
      <x:c r="V37" s="39"/>
      <x:c r="W37" s="39"/>
      <x:c r="X37" s="39"/>
      <x:c r="Y37" s="39"/>
      <x:c r="Z37" s="39"/>
    </x:row>
    <x:row r="38">
      <x:c r="A38" s="43"/>
      <x:c r="B38" s="43"/>
      <x:c r="C38" s="43"/>
      <x:c r="D38" s="43"/>
      <x:c r="E38" s="43"/>
      <x:c r="F38" s="43"/>
      <x:c r="G38" s="43"/>
      <x:c r="H38" s="43"/>
      <x:c r="I38" s="43"/>
      <x:c r="J38" s="39"/>
      <x:c r="K38" s="39"/>
      <x:c r="L38" s="39"/>
      <x:c r="M38" s="39"/>
      <x:c r="N38" s="39"/>
      <x:c r="O38" s="39"/>
      <x:c r="P38" s="39"/>
      <x:c r="Q38" s="39"/>
      <x:c r="R38" s="39"/>
      <x:c r="S38" s="39"/>
      <x:c r="T38" s="39"/>
      <x:c r="U38" s="39"/>
      <x:c r="V38" s="39"/>
      <x:c r="W38" s="39"/>
      <x:c r="X38" s="39"/>
      <x:c r="Y38" s="39"/>
      <x:c r="Z38" s="39"/>
    </x:row>
    <x:row r="39">
      <x:c r="A39" s="43"/>
      <x:c r="B39" s="43"/>
      <x:c r="C39" s="43"/>
      <x:c r="D39" s="43"/>
      <x:c r="E39" s="43"/>
      <x:c r="F39" s="43"/>
      <x:c r="G39" s="43"/>
      <x:c r="H39" s="43"/>
      <x:c r="I39" s="43"/>
      <x:c r="J39" s="39"/>
      <x:c r="K39" s="39"/>
      <x:c r="L39" s="39"/>
      <x:c r="M39" s="39"/>
      <x:c r="N39" s="39"/>
      <x:c r="O39" s="39"/>
      <x:c r="P39" s="39"/>
      <x:c r="Q39" s="39"/>
      <x:c r="R39" s="39"/>
      <x:c r="S39" s="39"/>
      <x:c r="T39" s="39"/>
      <x:c r="U39" s="39"/>
      <x:c r="V39" s="39"/>
      <x:c r="W39" s="39"/>
      <x:c r="X39" s="39"/>
      <x:c r="Y39" s="39"/>
      <x:c r="Z39" s="39"/>
    </x:row>
    <x:row r="40">
      <x:c r="A40" s="43"/>
      <x:c r="B40" s="43"/>
      <x:c r="C40" s="43"/>
      <x:c r="D40" s="43"/>
      <x:c r="E40" s="43"/>
      <x:c r="F40" s="43"/>
      <x:c r="G40" s="43"/>
      <x:c r="H40" s="43"/>
      <x:c r="I40" s="43"/>
      <x:c r="J40" s="39"/>
      <x:c r="K40" s="39"/>
      <x:c r="L40" s="39"/>
      <x:c r="M40" s="39"/>
      <x:c r="N40" s="39"/>
      <x:c r="O40" s="39"/>
      <x:c r="P40" s="39"/>
      <x:c r="Q40" s="39"/>
      <x:c r="R40" s="39"/>
      <x:c r="S40" s="39"/>
      <x:c r="T40" s="39"/>
      <x:c r="U40" s="39"/>
      <x:c r="V40" s="39"/>
      <x:c r="W40" s="39"/>
      <x:c r="X40" s="39"/>
      <x:c r="Y40" s="39"/>
      <x:c r="Z40" s="39"/>
    </x:row>
    <x:row r="41">
      <x:c r="A41" s="43"/>
      <x:c r="B41" s="43"/>
      <x:c r="C41" s="43"/>
      <x:c r="D41" s="43"/>
      <x:c r="E41" s="43"/>
      <x:c r="F41" s="43"/>
      <x:c r="G41" s="43"/>
      <x:c r="H41" s="43"/>
      <x:c r="I41" s="43"/>
      <x:c r="J41" s="39"/>
      <x:c r="K41" s="39"/>
      <x:c r="L41" s="39"/>
      <x:c r="M41" s="39"/>
      <x:c r="N41" s="39"/>
      <x:c r="O41" s="39"/>
      <x:c r="P41" s="39"/>
      <x:c r="Q41" s="39"/>
      <x:c r="R41" s="39"/>
      <x:c r="S41" s="39"/>
      <x:c r="T41" s="39"/>
      <x:c r="U41" s="39"/>
      <x:c r="V41" s="39"/>
      <x:c r="W41" s="39"/>
      <x:c r="X41" s="39"/>
      <x:c r="Y41" s="39"/>
      <x:c r="Z41" s="39"/>
    </x:row>
    <x:row r="42">
      <x:c r="A42" s="43"/>
      <x:c r="B42" s="43"/>
      <x:c r="C42" s="43"/>
      <x:c r="D42" s="43"/>
      <x:c r="E42" s="43"/>
      <x:c r="F42" s="43"/>
      <x:c r="G42" s="43"/>
      <x:c r="H42" s="43"/>
      <x:c r="I42" s="43"/>
      <x:c r="J42" s="39"/>
      <x:c r="K42" s="39"/>
      <x:c r="L42" s="39"/>
      <x:c r="M42" s="39"/>
      <x:c r="N42" s="39"/>
      <x:c r="O42" s="39"/>
      <x:c r="P42" s="39"/>
      <x:c r="Q42" s="39"/>
      <x:c r="R42" s="39"/>
      <x:c r="S42" s="39"/>
      <x:c r="T42" s="39"/>
      <x:c r="U42" s="39"/>
      <x:c r="V42" s="39"/>
      <x:c r="W42" s="39"/>
      <x:c r="X42" s="39"/>
      <x:c r="Y42" s="39"/>
      <x:c r="Z42" s="39"/>
    </x:row>
    <x:row r="43">
      <x:c r="A43" s="43"/>
      <x:c r="B43" s="43"/>
      <x:c r="C43" s="43"/>
      <x:c r="D43" s="43"/>
      <x:c r="E43" s="43"/>
      <x:c r="F43" s="43"/>
      <x:c r="G43" s="43"/>
      <x:c r="H43" s="43"/>
      <x:c r="I43" s="43"/>
      <x:c r="J43" s="39"/>
      <x:c r="K43" s="39"/>
      <x:c r="L43" s="39"/>
      <x:c r="M43" s="39"/>
      <x:c r="N43" s="39"/>
      <x:c r="O43" s="39"/>
      <x:c r="P43" s="39"/>
      <x:c r="Q43" s="39"/>
      <x:c r="R43" s="39"/>
      <x:c r="S43" s="39"/>
      <x:c r="T43" s="39"/>
      <x:c r="U43" s="39"/>
      <x:c r="V43" s="39"/>
      <x:c r="W43" s="39"/>
      <x:c r="X43" s="39"/>
      <x:c r="Y43" s="39"/>
      <x:c r="Z43" s="39"/>
    </x:row>
    <x:row r="44">
      <x:c r="A44" s="43"/>
      <x:c r="B44" s="43"/>
      <x:c r="C44" s="43"/>
      <x:c r="D44" s="43"/>
      <x:c r="E44" s="43"/>
      <x:c r="F44" s="43"/>
      <x:c r="G44" s="43"/>
      <x:c r="H44" s="43"/>
      <x:c r="I44" s="43"/>
      <x:c r="J44" s="39"/>
      <x:c r="K44" s="39"/>
      <x:c r="L44" s="39"/>
      <x:c r="M44" s="39"/>
      <x:c r="N44" s="39"/>
      <x:c r="O44" s="39"/>
      <x:c r="P44" s="39"/>
      <x:c r="Q44" s="39"/>
      <x:c r="R44" s="39"/>
      <x:c r="S44" s="39"/>
      <x:c r="T44" s="39"/>
      <x:c r="U44" s="39"/>
      <x:c r="V44" s="39"/>
      <x:c r="W44" s="39"/>
      <x:c r="X44" s="39"/>
      <x:c r="Y44" s="39"/>
      <x:c r="Z44" s="39"/>
    </x:row>
    <x:row r="45">
      <x:c r="A45" s="43"/>
      <x:c r="B45" s="43"/>
      <x:c r="C45" s="43"/>
      <x:c r="D45" s="43"/>
      <x:c r="E45" s="43"/>
      <x:c r="F45" s="43"/>
      <x:c r="G45" s="43"/>
      <x:c r="H45" s="43"/>
      <x:c r="I45" s="43"/>
      <x:c r="J45" s="39"/>
      <x:c r="K45" s="39"/>
      <x:c r="L45" s="39"/>
      <x:c r="M45" s="39"/>
      <x:c r="N45" s="39"/>
      <x:c r="O45" s="39"/>
      <x:c r="P45" s="39"/>
      <x:c r="Q45" s="39"/>
      <x:c r="R45" s="39"/>
      <x:c r="S45" s="39"/>
      <x:c r="T45" s="39"/>
      <x:c r="U45" s="39"/>
      <x:c r="V45" s="39"/>
      <x:c r="W45" s="39"/>
      <x:c r="X45" s="39"/>
      <x:c r="Y45" s="39"/>
      <x:c r="Z45" s="39"/>
    </x:row>
    <x:row r="46">
      <x:c r="A46" s="43"/>
      <x:c r="B46" s="43"/>
      <x:c r="C46" s="43"/>
      <x:c r="D46" s="43"/>
      <x:c r="E46" s="43"/>
      <x:c r="F46" s="43"/>
      <x:c r="G46" s="43"/>
      <x:c r="H46" s="43"/>
      <x:c r="I46" s="43"/>
      <x:c r="J46" s="39"/>
      <x:c r="K46" s="39"/>
      <x:c r="L46" s="39"/>
      <x:c r="M46" s="39"/>
      <x:c r="N46" s="39"/>
      <x:c r="O46" s="39"/>
      <x:c r="P46" s="39"/>
      <x:c r="Q46" s="39"/>
      <x:c r="R46" s="39"/>
      <x:c r="S46" s="39"/>
      <x:c r="T46" s="39"/>
      <x:c r="U46" s="39"/>
      <x:c r="V46" s="39"/>
      <x:c r="W46" s="39"/>
      <x:c r="X46" s="39"/>
      <x:c r="Y46" s="39"/>
      <x:c r="Z46" s="39"/>
    </x:row>
    <x:row r="47">
      <x:c r="A47" s="43"/>
      <x:c r="B47" s="43"/>
      <x:c r="C47" s="43"/>
      <x:c r="D47" s="43"/>
      <x:c r="E47" s="43"/>
      <x:c r="F47" s="43"/>
      <x:c r="G47" s="43"/>
      <x:c r="H47" s="43"/>
      <x:c r="I47" s="43"/>
      <x:c r="J47" s="39"/>
      <x:c r="K47" s="39"/>
      <x:c r="L47" s="39"/>
      <x:c r="M47" s="39"/>
      <x:c r="N47" s="39"/>
      <x:c r="O47" s="39"/>
      <x:c r="P47" s="39"/>
      <x:c r="Q47" s="39"/>
      <x:c r="R47" s="39"/>
      <x:c r="S47" s="39"/>
      <x:c r="T47" s="39"/>
      <x:c r="U47" s="39"/>
      <x:c r="V47" s="39"/>
      <x:c r="W47" s="39"/>
      <x:c r="X47" s="39"/>
      <x:c r="Y47" s="39"/>
      <x:c r="Z47" s="39"/>
    </x:row>
    <x:row r="48">
      <x:c r="A48" s="43"/>
      <x:c r="B48" s="43"/>
      <x:c r="C48" s="43"/>
      <x:c r="D48" s="43"/>
      <x:c r="E48" s="43"/>
      <x:c r="F48" s="43"/>
      <x:c r="G48" s="43"/>
      <x:c r="H48" s="43"/>
      <x:c r="I48" s="43"/>
      <x:c r="J48" s="39"/>
      <x:c r="K48" s="39"/>
      <x:c r="L48" s="39"/>
      <x:c r="M48" s="39"/>
      <x:c r="N48" s="39"/>
      <x:c r="O48" s="39"/>
      <x:c r="P48" s="39"/>
      <x:c r="Q48" s="39"/>
      <x:c r="R48" s="39"/>
      <x:c r="S48" s="39"/>
      <x:c r="T48" s="39"/>
      <x:c r="U48" s="39"/>
      <x:c r="V48" s="39"/>
      <x:c r="W48" s="39"/>
      <x:c r="X48" s="39"/>
      <x:c r="Y48" s="39"/>
      <x:c r="Z48" s="39"/>
    </x:row>
    <x:row r="49">
      <x:c r="A49" s="43"/>
      <x:c r="B49" s="43"/>
      <x:c r="C49" s="43"/>
      <x:c r="D49" s="43"/>
      <x:c r="E49" s="43"/>
      <x:c r="F49" s="43"/>
      <x:c r="G49" s="43"/>
      <x:c r="H49" s="43"/>
      <x:c r="I49" s="43"/>
      <x:c r="J49" s="39"/>
      <x:c r="K49" s="39"/>
      <x:c r="L49" s="39"/>
      <x:c r="M49" s="39"/>
      <x:c r="N49" s="39"/>
      <x:c r="O49" s="39"/>
      <x:c r="P49" s="39"/>
      <x:c r="Q49" s="39"/>
      <x:c r="R49" s="39"/>
      <x:c r="S49" s="39"/>
      <x:c r="T49" s="39"/>
      <x:c r="U49" s="39"/>
      <x:c r="V49" s="39"/>
      <x:c r="W49" s="39"/>
      <x:c r="X49" s="39"/>
      <x:c r="Y49" s="39"/>
      <x:c r="Z49" s="39"/>
    </x:row>
    <x:row r="50">
      <x:c r="A50" s="43"/>
      <x:c r="B50" s="43"/>
      <x:c r="C50" s="43"/>
      <x:c r="D50" s="43"/>
      <x:c r="E50" s="43"/>
      <x:c r="F50" s="43"/>
      <x:c r="G50" s="43"/>
      <x:c r="H50" s="43"/>
      <x:c r="I50" s="43"/>
      <x:c r="J50" s="39"/>
      <x:c r="K50" s="39"/>
      <x:c r="L50" s="39"/>
      <x:c r="M50" s="39"/>
      <x:c r="N50" s="39"/>
      <x:c r="O50" s="39"/>
      <x:c r="P50" s="39"/>
      <x:c r="Q50" s="39"/>
      <x:c r="R50" s="39"/>
      <x:c r="S50" s="39"/>
      <x:c r="T50" s="39"/>
      <x:c r="U50" s="39"/>
      <x:c r="V50" s="39"/>
      <x:c r="W50" s="39"/>
      <x:c r="X50" s="39"/>
      <x:c r="Y50" s="39"/>
      <x:c r="Z50" s="39"/>
    </x:row>
    <x:row r="51">
      <x:c r="A51" s="43"/>
      <x:c r="B51" s="43"/>
      <x:c r="C51" s="43"/>
      <x:c r="D51" s="43"/>
      <x:c r="E51" s="43"/>
      <x:c r="F51" s="43"/>
      <x:c r="G51" s="43"/>
      <x:c r="H51" s="43"/>
      <x:c r="I51" s="43"/>
      <x:c r="J51" s="39"/>
      <x:c r="K51" s="39"/>
      <x:c r="L51" s="39"/>
      <x:c r="M51" s="39"/>
      <x:c r="N51" s="39"/>
      <x:c r="O51" s="39"/>
      <x:c r="P51" s="39"/>
      <x:c r="Q51" s="39"/>
      <x:c r="R51" s="39"/>
      <x:c r="S51" s="39"/>
      <x:c r="T51" s="39"/>
      <x:c r="U51" s="39"/>
      <x:c r="V51" s="39"/>
      <x:c r="W51" s="39"/>
      <x:c r="X51" s="39"/>
      <x:c r="Y51" s="39"/>
      <x:c r="Z51" s="39"/>
    </x:row>
    <x:row r="52">
      <x:c r="A52" s="43"/>
      <x:c r="B52" s="43"/>
      <x:c r="C52" s="43"/>
      <x:c r="D52" s="43"/>
      <x:c r="E52" s="43"/>
      <x:c r="F52" s="43"/>
      <x:c r="G52" s="43"/>
      <x:c r="H52" s="43"/>
      <x:c r="I52" s="43"/>
      <x:c r="J52" s="39"/>
      <x:c r="K52" s="39"/>
      <x:c r="L52" s="39"/>
      <x:c r="M52" s="39"/>
      <x:c r="N52" s="39"/>
      <x:c r="O52" s="39"/>
      <x:c r="P52" s="39"/>
      <x:c r="Q52" s="39"/>
      <x:c r="R52" s="39"/>
      <x:c r="S52" s="39"/>
      <x:c r="T52" s="39"/>
      <x:c r="U52" s="39"/>
      <x:c r="V52" s="39"/>
      <x:c r="W52" s="39"/>
      <x:c r="X52" s="39"/>
      <x:c r="Y52" s="39"/>
      <x:c r="Z52" s="39"/>
    </x:row>
    <x:row r="53">
      <x:c r="A53" s="43"/>
      <x:c r="B53" s="43"/>
      <x:c r="C53" s="43"/>
      <x:c r="D53" s="43"/>
      <x:c r="E53" s="43"/>
      <x:c r="F53" s="43"/>
      <x:c r="G53" s="43"/>
      <x:c r="H53" s="43"/>
      <x:c r="I53" s="43"/>
      <x:c r="J53" s="39"/>
      <x:c r="K53" s="39"/>
      <x:c r="L53" s="39"/>
      <x:c r="M53" s="39"/>
      <x:c r="N53" s="39"/>
      <x:c r="O53" s="39"/>
      <x:c r="P53" s="39"/>
      <x:c r="Q53" s="39"/>
      <x:c r="R53" s="39"/>
      <x:c r="S53" s="39"/>
      <x:c r="T53" s="39"/>
      <x:c r="U53" s="39"/>
      <x:c r="V53" s="39"/>
      <x:c r="W53" s="39"/>
      <x:c r="X53" s="39"/>
      <x:c r="Y53" s="39"/>
      <x:c r="Z53" s="39"/>
    </x:row>
    <x:row r="54">
      <x:c r="A54" s="43"/>
      <x:c r="B54" s="43"/>
      <x:c r="C54" s="43"/>
      <x:c r="D54" s="43"/>
      <x:c r="E54" s="43"/>
      <x:c r="F54" s="43"/>
      <x:c r="G54" s="43"/>
      <x:c r="H54" s="43"/>
      <x:c r="I54" s="43"/>
      <x:c r="J54" s="39"/>
      <x:c r="K54" s="39"/>
      <x:c r="L54" s="39"/>
      <x:c r="M54" s="39"/>
      <x:c r="N54" s="39"/>
      <x:c r="O54" s="39"/>
      <x:c r="P54" s="39"/>
      <x:c r="Q54" s="39"/>
      <x:c r="R54" s="39"/>
      <x:c r="S54" s="39"/>
      <x:c r="T54" s="39"/>
      <x:c r="U54" s="39"/>
      <x:c r="V54" s="39"/>
      <x:c r="W54" s="39"/>
      <x:c r="X54" s="39"/>
      <x:c r="Y54" s="39"/>
      <x:c r="Z54" s="39"/>
    </x:row>
    <x:row r="55">
      <x:c r="A55" s="43"/>
      <x:c r="B55" s="43"/>
      <x:c r="C55" s="43"/>
      <x:c r="D55" s="43"/>
      <x:c r="E55" s="43"/>
      <x:c r="F55" s="43"/>
      <x:c r="G55" s="43"/>
      <x:c r="H55" s="43"/>
      <x:c r="I55" s="43"/>
      <x:c r="J55" s="39"/>
      <x:c r="K55" s="39"/>
      <x:c r="L55" s="39"/>
      <x:c r="M55" s="39"/>
      <x:c r="N55" s="39"/>
      <x:c r="O55" s="39"/>
      <x:c r="P55" s="39"/>
      <x:c r="Q55" s="39"/>
      <x:c r="R55" s="39"/>
      <x:c r="S55" s="39"/>
      <x:c r="T55" s="39"/>
      <x:c r="U55" s="39"/>
      <x:c r="V55" s="39"/>
      <x:c r="W55" s="39"/>
      <x:c r="X55" s="39"/>
      <x:c r="Y55" s="39"/>
      <x:c r="Z55" s="39"/>
    </x:row>
    <x:row r="56">
      <x:c r="A56" s="43"/>
      <x:c r="B56" s="43"/>
      <x:c r="C56" s="43"/>
      <x:c r="D56" s="43"/>
      <x:c r="E56" s="43"/>
      <x:c r="F56" s="43"/>
      <x:c r="G56" s="43"/>
      <x:c r="H56" s="43"/>
      <x:c r="I56" s="43"/>
      <x:c r="J56" s="39"/>
      <x:c r="K56" s="39"/>
      <x:c r="L56" s="39"/>
      <x:c r="M56" s="39"/>
      <x:c r="N56" s="39"/>
      <x:c r="O56" s="39"/>
      <x:c r="P56" s="39"/>
      <x:c r="Q56" s="39"/>
      <x:c r="R56" s="39"/>
      <x:c r="S56" s="39"/>
      <x:c r="T56" s="39"/>
      <x:c r="U56" s="39"/>
      <x:c r="V56" s="39"/>
      <x:c r="W56" s="39"/>
      <x:c r="X56" s="39"/>
      <x:c r="Y56" s="39"/>
      <x:c r="Z56" s="39"/>
    </x:row>
    <x:row r="57">
      <x:c r="A57" s="43"/>
      <x:c r="B57" s="43"/>
      <x:c r="C57" s="43"/>
      <x:c r="D57" s="43"/>
      <x:c r="E57" s="43"/>
      <x:c r="F57" s="43"/>
      <x:c r="G57" s="43"/>
      <x:c r="H57" s="43"/>
      <x:c r="I57" s="43"/>
      <x:c r="J57" s="39"/>
      <x:c r="K57" s="39"/>
      <x:c r="L57" s="39"/>
      <x:c r="M57" s="39"/>
      <x:c r="N57" s="39"/>
      <x:c r="O57" s="39"/>
      <x:c r="P57" s="39"/>
      <x:c r="Q57" s="39"/>
      <x:c r="R57" s="39"/>
      <x:c r="S57" s="39"/>
      <x:c r="T57" s="39"/>
      <x:c r="U57" s="39"/>
      <x:c r="V57" s="39"/>
      <x:c r="W57" s="39"/>
      <x:c r="X57" s="39"/>
      <x:c r="Y57" s="39"/>
      <x:c r="Z57" s="39"/>
    </x:row>
    <x:row r="58">
      <x:c r="A58" s="43"/>
      <x:c r="B58" s="43"/>
      <x:c r="C58" s="43"/>
      <x:c r="D58" s="43"/>
      <x:c r="E58" s="43"/>
      <x:c r="F58" s="43"/>
      <x:c r="G58" s="43"/>
      <x:c r="H58" s="43"/>
      <x:c r="I58" s="43"/>
      <x:c r="J58" s="39"/>
      <x:c r="K58" s="39"/>
      <x:c r="L58" s="39"/>
      <x:c r="M58" s="39"/>
      <x:c r="N58" s="39"/>
      <x:c r="O58" s="39"/>
      <x:c r="P58" s="39"/>
      <x:c r="Q58" s="39"/>
      <x:c r="R58" s="39"/>
      <x:c r="S58" s="39"/>
      <x:c r="T58" s="39"/>
      <x:c r="U58" s="39"/>
      <x:c r="V58" s="39"/>
      <x:c r="W58" s="39"/>
      <x:c r="X58" s="39"/>
      <x:c r="Y58" s="39"/>
      <x:c r="Z58" s="39"/>
    </x:row>
    <x:row r="59">
      <x:c r="A59" s="43"/>
      <x:c r="B59" s="43"/>
      <x:c r="C59" s="43"/>
      <x:c r="D59" s="43"/>
      <x:c r="E59" s="43"/>
      <x:c r="F59" s="43"/>
      <x:c r="G59" s="43"/>
      <x:c r="H59" s="43"/>
      <x:c r="I59" s="43"/>
      <x:c r="J59" s="39"/>
      <x:c r="K59" s="39"/>
      <x:c r="L59" s="39"/>
      <x:c r="M59" s="39"/>
      <x:c r="N59" s="39"/>
      <x:c r="O59" s="39"/>
      <x:c r="P59" s="39"/>
      <x:c r="Q59" s="39"/>
      <x:c r="R59" s="39"/>
      <x:c r="S59" s="39"/>
      <x:c r="T59" s="39"/>
      <x:c r="U59" s="39"/>
      <x:c r="V59" s="39"/>
      <x:c r="W59" s="39"/>
      <x:c r="X59" s="39"/>
      <x:c r="Y59" s="39"/>
      <x:c r="Z59" s="39"/>
    </x:row>
    <x:row r="60">
      <x:c r="A60" s="43"/>
      <x:c r="B60" s="43"/>
      <x:c r="C60" s="43"/>
      <x:c r="D60" s="43"/>
      <x:c r="E60" s="43"/>
      <x:c r="F60" s="43"/>
      <x:c r="G60" s="43"/>
      <x:c r="H60" s="43"/>
      <x:c r="I60" s="43"/>
      <x:c r="J60" s="39"/>
      <x:c r="K60" s="39"/>
      <x:c r="L60" s="39"/>
      <x:c r="M60" s="39"/>
      <x:c r="N60" s="39"/>
      <x:c r="O60" s="39"/>
      <x:c r="P60" s="39"/>
      <x:c r="Q60" s="39"/>
      <x:c r="R60" s="39"/>
      <x:c r="S60" s="39"/>
      <x:c r="T60" s="39"/>
      <x:c r="U60" s="39"/>
      <x:c r="V60" s="39"/>
      <x:c r="W60" s="39"/>
      <x:c r="X60" s="39"/>
      <x:c r="Y60" s="39"/>
      <x:c r="Z60" s="39"/>
    </x:row>
    <x:row r="61">
      <x:c r="A61" s="43"/>
      <x:c r="B61" s="43"/>
      <x:c r="C61" s="43"/>
      <x:c r="D61" s="43"/>
      <x:c r="E61" s="43"/>
      <x:c r="F61" s="43"/>
      <x:c r="G61" s="43"/>
      <x:c r="H61" s="43"/>
      <x:c r="I61" s="43"/>
      <x:c r="J61" s="39"/>
      <x:c r="K61" s="39"/>
      <x:c r="L61" s="39"/>
      <x:c r="M61" s="39"/>
      <x:c r="N61" s="39"/>
      <x:c r="O61" s="39"/>
      <x:c r="P61" s="39"/>
      <x:c r="Q61" s="39"/>
      <x:c r="R61" s="39"/>
      <x:c r="S61" s="39"/>
      <x:c r="T61" s="39"/>
      <x:c r="U61" s="39"/>
      <x:c r="V61" s="39"/>
      <x:c r="W61" s="39"/>
      <x:c r="X61" s="39"/>
      <x:c r="Y61" s="39"/>
      <x:c r="Z61" s="39"/>
    </x:row>
    <x:row r="62">
      <x:c r="A62" s="43"/>
      <x:c r="B62" s="43"/>
      <x:c r="C62" s="43"/>
      <x:c r="D62" s="43"/>
      <x:c r="E62" s="43"/>
      <x:c r="F62" s="43"/>
      <x:c r="G62" s="43"/>
      <x:c r="H62" s="43"/>
      <x:c r="I62" s="43"/>
      <x:c r="J62" s="39"/>
      <x:c r="K62" s="39"/>
      <x:c r="L62" s="39"/>
      <x:c r="M62" s="39"/>
      <x:c r="N62" s="39"/>
      <x:c r="O62" s="39"/>
      <x:c r="P62" s="39"/>
      <x:c r="Q62" s="39"/>
      <x:c r="R62" s="39"/>
      <x:c r="S62" s="39"/>
      <x:c r="T62" s="39"/>
      <x:c r="U62" s="39"/>
      <x:c r="V62" s="39"/>
      <x:c r="W62" s="39"/>
      <x:c r="X62" s="39"/>
      <x:c r="Y62" s="39"/>
      <x:c r="Z62" s="39"/>
    </x:row>
    <x:row r="63">
      <x:c r="A63" s="43"/>
      <x:c r="B63" s="43"/>
      <x:c r="C63" s="43"/>
      <x:c r="D63" s="43"/>
      <x:c r="E63" s="43"/>
      <x:c r="F63" s="43"/>
      <x:c r="G63" s="43"/>
      <x:c r="H63" s="43"/>
      <x:c r="I63" s="43"/>
      <x:c r="J63" s="39"/>
      <x:c r="K63" s="39"/>
      <x:c r="L63" s="39"/>
      <x:c r="M63" s="39"/>
      <x:c r="N63" s="39"/>
      <x:c r="O63" s="39"/>
      <x:c r="P63" s="39"/>
      <x:c r="Q63" s="39"/>
      <x:c r="R63" s="39"/>
      <x:c r="S63" s="39"/>
      <x:c r="T63" s="39"/>
      <x:c r="U63" s="39"/>
      <x:c r="V63" s="39"/>
      <x:c r="W63" s="39"/>
      <x:c r="X63" s="39"/>
      <x:c r="Y63" s="39"/>
      <x:c r="Z63" s="39"/>
    </x:row>
    <x:row r="64">
      <x:c r="A64" s="43"/>
      <x:c r="B64" s="43"/>
      <x:c r="C64" s="43"/>
      <x:c r="D64" s="43"/>
      <x:c r="E64" s="43"/>
      <x:c r="F64" s="43"/>
      <x:c r="G64" s="43"/>
      <x:c r="H64" s="43"/>
      <x:c r="I64" s="43"/>
      <x:c r="J64" s="39"/>
      <x:c r="K64" s="39"/>
      <x:c r="L64" s="39"/>
      <x:c r="M64" s="39"/>
      <x:c r="N64" s="39"/>
      <x:c r="O64" s="39"/>
      <x:c r="P64" s="39"/>
      <x:c r="Q64" s="39"/>
      <x:c r="R64" s="39"/>
      <x:c r="S64" s="39"/>
      <x:c r="T64" s="39"/>
      <x:c r="U64" s="39"/>
      <x:c r="V64" s="39"/>
      <x:c r="W64" s="39"/>
      <x:c r="X64" s="39"/>
      <x:c r="Y64" s="39"/>
      <x:c r="Z64" s="39"/>
    </x:row>
    <x:row r="65">
      <x:c r="A65" s="43"/>
      <x:c r="B65" s="43"/>
      <x:c r="C65" s="43"/>
      <x:c r="D65" s="43"/>
      <x:c r="E65" s="43"/>
      <x:c r="F65" s="43"/>
      <x:c r="G65" s="43"/>
      <x:c r="H65" s="43"/>
      <x:c r="I65" s="43"/>
      <x:c r="J65" s="39"/>
      <x:c r="K65" s="39"/>
      <x:c r="L65" s="39"/>
      <x:c r="M65" s="39"/>
      <x:c r="N65" s="39"/>
      <x:c r="O65" s="39"/>
      <x:c r="P65" s="39"/>
      <x:c r="Q65" s="39"/>
      <x:c r="R65" s="39"/>
      <x:c r="S65" s="39"/>
      <x:c r="T65" s="39"/>
      <x:c r="U65" s="39"/>
      <x:c r="V65" s="39"/>
      <x:c r="W65" s="39"/>
      <x:c r="X65" s="39"/>
      <x:c r="Y65" s="39"/>
      <x:c r="Z65" s="39"/>
    </x:row>
    <x:row r="66">
      <x:c r="A66" s="43"/>
      <x:c r="B66" s="43"/>
      <x:c r="C66" s="43"/>
      <x:c r="D66" s="43"/>
      <x:c r="E66" s="43"/>
      <x:c r="F66" s="43"/>
      <x:c r="G66" s="43"/>
      <x:c r="H66" s="43"/>
      <x:c r="I66" s="43"/>
      <x:c r="J66" s="39"/>
      <x:c r="K66" s="39"/>
      <x:c r="L66" s="39"/>
      <x:c r="M66" s="39"/>
      <x:c r="N66" s="39"/>
      <x:c r="O66" s="39"/>
      <x:c r="P66" s="39"/>
      <x:c r="Q66" s="39"/>
      <x:c r="R66" s="39"/>
      <x:c r="S66" s="39"/>
      <x:c r="T66" s="39"/>
      <x:c r="U66" s="39"/>
      <x:c r="V66" s="39"/>
      <x:c r="W66" s="39"/>
      <x:c r="X66" s="39"/>
      <x:c r="Y66" s="39"/>
      <x:c r="Z66" s="39"/>
    </x:row>
    <x:row r="67">
      <x:c r="A67" s="43"/>
      <x:c r="B67" s="43"/>
      <x:c r="C67" s="43"/>
      <x:c r="D67" s="43"/>
      <x:c r="E67" s="43"/>
      <x:c r="F67" s="43"/>
      <x:c r="G67" s="43"/>
      <x:c r="H67" s="43"/>
      <x:c r="I67" s="43"/>
      <x:c r="J67" s="39"/>
      <x:c r="K67" s="39"/>
      <x:c r="L67" s="39"/>
      <x:c r="M67" s="39"/>
      <x:c r="N67" s="39"/>
      <x:c r="O67" s="39"/>
      <x:c r="P67" s="39"/>
      <x:c r="Q67" s="39"/>
      <x:c r="R67" s="39"/>
      <x:c r="S67" s="39"/>
      <x:c r="T67" s="39"/>
      <x:c r="U67" s="39"/>
      <x:c r="V67" s="39"/>
      <x:c r="W67" s="39"/>
      <x:c r="X67" s="39"/>
      <x:c r="Y67" s="39"/>
      <x:c r="Z67" s="39"/>
    </x:row>
    <x:row r="68">
      <x:c r="A68" s="43"/>
      <x:c r="B68" s="43"/>
      <x:c r="C68" s="43"/>
      <x:c r="D68" s="43"/>
      <x:c r="E68" s="43"/>
      <x:c r="F68" s="43"/>
      <x:c r="G68" s="43"/>
      <x:c r="H68" s="43"/>
      <x:c r="I68" s="43"/>
      <x:c r="J68" s="39"/>
      <x:c r="K68" s="39"/>
      <x:c r="L68" s="39"/>
      <x:c r="M68" s="39"/>
      <x:c r="N68" s="39"/>
      <x:c r="O68" s="39"/>
      <x:c r="P68" s="39"/>
      <x:c r="Q68" s="39"/>
      <x:c r="R68" s="39"/>
      <x:c r="S68" s="39"/>
      <x:c r="T68" s="39"/>
      <x:c r="U68" s="39"/>
      <x:c r="V68" s="39"/>
      <x:c r="W68" s="39"/>
      <x:c r="X68" s="39"/>
      <x:c r="Y68" s="39"/>
      <x:c r="Z68" s="39"/>
    </x:row>
    <x:row r="69">
      <x:c r="A69" s="43"/>
      <x:c r="B69" s="43"/>
      <x:c r="C69" s="43"/>
      <x:c r="D69" s="43"/>
      <x:c r="E69" s="43"/>
      <x:c r="F69" s="43"/>
      <x:c r="G69" s="43"/>
      <x:c r="H69" s="43"/>
      <x:c r="I69" s="43"/>
      <x:c r="J69" s="39"/>
      <x:c r="K69" s="39"/>
      <x:c r="L69" s="39"/>
      <x:c r="M69" s="39"/>
      <x:c r="N69" s="39"/>
      <x:c r="O69" s="39"/>
      <x:c r="P69" s="39"/>
      <x:c r="Q69" s="39"/>
      <x:c r="R69" s="39"/>
      <x:c r="S69" s="39"/>
      <x:c r="T69" s="39"/>
      <x:c r="U69" s="39"/>
      <x:c r="V69" s="39"/>
      <x:c r="W69" s="39"/>
      <x:c r="X69" s="39"/>
      <x:c r="Y69" s="39"/>
      <x:c r="Z69" s="39"/>
    </x:row>
    <x:row r="70">
      <x:c r="A70" s="43"/>
      <x:c r="B70" s="43"/>
      <x:c r="C70" s="43"/>
      <x:c r="D70" s="43"/>
      <x:c r="E70" s="43"/>
      <x:c r="F70" s="43"/>
      <x:c r="G70" s="43"/>
      <x:c r="H70" s="43"/>
      <x:c r="I70" s="43"/>
      <x:c r="J70" s="39"/>
      <x:c r="K70" s="39"/>
      <x:c r="L70" s="39"/>
      <x:c r="M70" s="39"/>
      <x:c r="N70" s="39"/>
      <x:c r="O70" s="39"/>
      <x:c r="P70" s="39"/>
      <x:c r="Q70" s="39"/>
      <x:c r="R70" s="39"/>
      <x:c r="S70" s="39"/>
      <x:c r="T70" s="39"/>
      <x:c r="U70" s="39"/>
      <x:c r="V70" s="39"/>
      <x:c r="W70" s="39"/>
      <x:c r="X70" s="39"/>
      <x:c r="Y70" s="39"/>
      <x:c r="Z70" s="39"/>
    </x:row>
    <x:row r="71">
      <x:c r="A71" s="43"/>
      <x:c r="B71" s="43"/>
      <x:c r="C71" s="43"/>
      <x:c r="D71" s="43"/>
      <x:c r="E71" s="43"/>
      <x:c r="F71" s="43"/>
      <x:c r="G71" s="43"/>
      <x:c r="H71" s="43"/>
      <x:c r="I71" s="43"/>
      <x:c r="J71" s="39"/>
      <x:c r="K71" s="39"/>
      <x:c r="L71" s="39"/>
      <x:c r="M71" s="39"/>
      <x:c r="N71" s="39"/>
      <x:c r="O71" s="39"/>
      <x:c r="P71" s="39"/>
      <x:c r="Q71" s="39"/>
      <x:c r="R71" s="39"/>
      <x:c r="S71" s="39"/>
      <x:c r="T71" s="39"/>
      <x:c r="U71" s="39"/>
      <x:c r="V71" s="39"/>
      <x:c r="W71" s="39"/>
      <x:c r="X71" s="39"/>
      <x:c r="Y71" s="39"/>
      <x:c r="Z71" s="39"/>
    </x:row>
    <x:row r="72">
      <x:c r="A72" s="43"/>
      <x:c r="B72" s="43"/>
      <x:c r="C72" s="43"/>
      <x:c r="D72" s="43"/>
      <x:c r="E72" s="43"/>
      <x:c r="F72" s="43"/>
      <x:c r="G72" s="43"/>
      <x:c r="H72" s="43"/>
      <x:c r="I72" s="43"/>
      <x:c r="J72" s="39"/>
      <x:c r="K72" s="39"/>
      <x:c r="L72" s="39"/>
      <x:c r="M72" s="39"/>
      <x:c r="N72" s="39"/>
      <x:c r="O72" s="39"/>
      <x:c r="P72" s="39"/>
      <x:c r="Q72" s="39"/>
      <x:c r="R72" s="39"/>
      <x:c r="S72" s="39"/>
      <x:c r="T72" s="39"/>
      <x:c r="U72" s="39"/>
      <x:c r="V72" s="39"/>
      <x:c r="W72" s="39"/>
      <x:c r="X72" s="39"/>
      <x:c r="Y72" s="39"/>
      <x:c r="Z72" s="39"/>
    </x:row>
    <x:row r="73">
      <x:c r="A73" s="43"/>
      <x:c r="B73" s="43"/>
      <x:c r="C73" s="43"/>
      <x:c r="D73" s="43"/>
      <x:c r="E73" s="43"/>
      <x:c r="F73" s="43"/>
      <x:c r="G73" s="43"/>
      <x:c r="H73" s="43"/>
      <x:c r="I73" s="43"/>
      <x:c r="J73" s="39"/>
      <x:c r="K73" s="39"/>
      <x:c r="L73" s="39"/>
      <x:c r="M73" s="39"/>
      <x:c r="N73" s="39"/>
      <x:c r="O73" s="39"/>
      <x:c r="P73" s="39"/>
      <x:c r="Q73" s="39"/>
      <x:c r="R73" s="39"/>
      <x:c r="S73" s="39"/>
      <x:c r="T73" s="39"/>
      <x:c r="U73" s="39"/>
      <x:c r="V73" s="39"/>
      <x:c r="W73" s="39"/>
      <x:c r="X73" s="39"/>
      <x:c r="Y73" s="39"/>
      <x:c r="Z73" s="39"/>
    </x:row>
    <x:row r="74">
      <x:c r="A74" s="43"/>
      <x:c r="B74" s="43"/>
      <x:c r="C74" s="43"/>
      <x:c r="D74" s="43"/>
      <x:c r="E74" s="43"/>
      <x:c r="F74" s="43"/>
      <x:c r="G74" s="43"/>
      <x:c r="H74" s="43"/>
      <x:c r="I74" s="43"/>
      <x:c r="J74" s="39"/>
      <x:c r="K74" s="39"/>
      <x:c r="L74" s="39"/>
      <x:c r="M74" s="39"/>
      <x:c r="N74" s="39"/>
      <x:c r="O74" s="39"/>
      <x:c r="P74" s="39"/>
      <x:c r="Q74" s="39"/>
      <x:c r="R74" s="39"/>
      <x:c r="S74" s="39"/>
      <x:c r="T74" s="39"/>
      <x:c r="U74" s="39"/>
      <x:c r="V74" s="39"/>
      <x:c r="W74" s="39"/>
      <x:c r="X74" s="39"/>
      <x:c r="Y74" s="39"/>
      <x:c r="Z74" s="39"/>
    </x:row>
    <x:row r="75">
      <x:c r="A75" s="43"/>
      <x:c r="B75" s="43"/>
      <x:c r="C75" s="43"/>
      <x:c r="D75" s="43"/>
      <x:c r="E75" s="43"/>
      <x:c r="F75" s="43"/>
      <x:c r="G75" s="43"/>
      <x:c r="H75" s="43"/>
      <x:c r="I75" s="43"/>
      <x:c r="J75" s="39"/>
      <x:c r="K75" s="39"/>
      <x:c r="L75" s="39"/>
      <x:c r="M75" s="39"/>
      <x:c r="N75" s="39"/>
      <x:c r="O75" s="39"/>
      <x:c r="P75" s="39"/>
      <x:c r="Q75" s="39"/>
      <x:c r="R75" s="39"/>
      <x:c r="S75" s="39"/>
      <x:c r="T75" s="39"/>
      <x:c r="U75" s="39"/>
      <x:c r="V75" s="39"/>
      <x:c r="W75" s="39"/>
      <x:c r="X75" s="39"/>
      <x:c r="Y75" s="39"/>
      <x:c r="Z75" s="39"/>
    </x:row>
    <x:row r="76">
      <x:c r="A76" s="43"/>
      <x:c r="B76" s="43"/>
      <x:c r="C76" s="43"/>
      <x:c r="D76" s="43"/>
      <x:c r="E76" s="43"/>
      <x:c r="F76" s="43"/>
      <x:c r="G76" s="43"/>
      <x:c r="H76" s="43"/>
      <x:c r="I76" s="43"/>
      <x:c r="J76" s="39"/>
      <x:c r="K76" s="39"/>
      <x:c r="L76" s="39"/>
      <x:c r="M76" s="39"/>
      <x:c r="N76" s="39"/>
      <x:c r="O76" s="39"/>
      <x:c r="P76" s="39"/>
      <x:c r="Q76" s="39"/>
      <x:c r="R76" s="39"/>
      <x:c r="S76" s="39"/>
      <x:c r="T76" s="39"/>
      <x:c r="U76" s="39"/>
      <x:c r="V76" s="39"/>
      <x:c r="W76" s="39"/>
      <x:c r="X76" s="39"/>
      <x:c r="Y76" s="39"/>
      <x:c r="Z76" s="39"/>
    </x:row>
    <x:row r="77">
      <x:c r="A77" s="43"/>
      <x:c r="B77" s="43"/>
      <x:c r="C77" s="43"/>
      <x:c r="D77" s="43"/>
      <x:c r="E77" s="43"/>
      <x:c r="F77" s="43"/>
      <x:c r="G77" s="43"/>
      <x:c r="H77" s="43"/>
      <x:c r="I77" s="43"/>
      <x:c r="J77" s="39"/>
      <x:c r="K77" s="39"/>
      <x:c r="L77" s="39"/>
      <x:c r="M77" s="39"/>
      <x:c r="N77" s="39"/>
      <x:c r="O77" s="39"/>
      <x:c r="P77" s="39"/>
      <x:c r="Q77" s="39"/>
      <x:c r="R77" s="39"/>
      <x:c r="S77" s="39"/>
      <x:c r="T77" s="39"/>
      <x:c r="U77" s="39"/>
      <x:c r="V77" s="39"/>
      <x:c r="W77" s="39"/>
      <x:c r="X77" s="39"/>
      <x:c r="Y77" s="39"/>
      <x:c r="Z77" s="39"/>
    </x:row>
    <x:row r="78">
      <x:c r="A78" s="43"/>
      <x:c r="B78" s="43"/>
      <x:c r="C78" s="43"/>
      <x:c r="D78" s="43"/>
      <x:c r="E78" s="43"/>
      <x:c r="F78" s="43"/>
      <x:c r="G78" s="43"/>
      <x:c r="H78" s="43"/>
      <x:c r="I78" s="43"/>
      <x:c r="J78" s="39"/>
      <x:c r="K78" s="39"/>
      <x:c r="L78" s="39"/>
      <x:c r="M78" s="39"/>
      <x:c r="N78" s="39"/>
      <x:c r="O78" s="39"/>
      <x:c r="P78" s="39"/>
      <x:c r="Q78" s="39"/>
      <x:c r="R78" s="39"/>
      <x:c r="S78" s="39"/>
      <x:c r="T78" s="39"/>
      <x:c r="U78" s="39"/>
      <x:c r="V78" s="39"/>
      <x:c r="W78" s="39"/>
      <x:c r="X78" s="39"/>
      <x:c r="Y78" s="39"/>
      <x:c r="Z78" s="39"/>
    </x:row>
    <x:row r="79">
      <x:c r="A79" s="43"/>
      <x:c r="B79" s="43"/>
      <x:c r="C79" s="43"/>
      <x:c r="D79" s="43"/>
      <x:c r="E79" s="43"/>
      <x:c r="F79" s="43"/>
      <x:c r="G79" s="43"/>
      <x:c r="H79" s="43"/>
      <x:c r="I79" s="43"/>
      <x:c r="J79" s="39"/>
      <x:c r="K79" s="39"/>
      <x:c r="L79" s="39"/>
      <x:c r="M79" s="39"/>
      <x:c r="N79" s="39"/>
      <x:c r="O79" s="39"/>
      <x:c r="P79" s="39"/>
      <x:c r="Q79" s="39"/>
      <x:c r="R79" s="39"/>
      <x:c r="S79" s="39"/>
      <x:c r="T79" s="39"/>
      <x:c r="U79" s="39"/>
      <x:c r="V79" s="39"/>
      <x:c r="W79" s="39"/>
      <x:c r="X79" s="39"/>
      <x:c r="Y79" s="39"/>
      <x:c r="Z79" s="39"/>
    </x:row>
    <x:row r="80">
      <x:c r="A80" s="43"/>
      <x:c r="B80" s="43"/>
      <x:c r="C80" s="43"/>
      <x:c r="D80" s="43"/>
      <x:c r="E80" s="43"/>
      <x:c r="F80" s="43"/>
      <x:c r="G80" s="43"/>
      <x:c r="H80" s="43"/>
      <x:c r="I80" s="43"/>
      <x:c r="J80" s="39"/>
      <x:c r="K80" s="39"/>
      <x:c r="L80" s="39"/>
      <x:c r="M80" s="39"/>
      <x:c r="N80" s="39"/>
      <x:c r="O80" s="39"/>
      <x:c r="P80" s="39"/>
      <x:c r="Q80" s="39"/>
      <x:c r="R80" s="39"/>
      <x:c r="S80" s="39"/>
      <x:c r="T80" s="39"/>
      <x:c r="U80" s="39"/>
      <x:c r="V80" s="39"/>
      <x:c r="W80" s="39"/>
      <x:c r="X80" s="39"/>
      <x:c r="Y80" s="39"/>
      <x:c r="Z80" s="39"/>
    </x:row>
    <x:row r="81">
      <x:c r="A81" s="43"/>
      <x:c r="B81" s="43"/>
      <x:c r="C81" s="43"/>
      <x:c r="D81" s="43"/>
      <x:c r="E81" s="43"/>
      <x:c r="F81" s="43"/>
      <x:c r="G81" s="43"/>
      <x:c r="H81" s="43"/>
      <x:c r="I81" s="43"/>
      <x:c r="J81" s="39"/>
      <x:c r="K81" s="39"/>
      <x:c r="L81" s="39"/>
      <x:c r="M81" s="39"/>
      <x:c r="N81" s="39"/>
      <x:c r="O81" s="39"/>
      <x:c r="P81" s="39"/>
      <x:c r="Q81" s="39"/>
      <x:c r="R81" s="39"/>
      <x:c r="S81" s="39"/>
      <x:c r="T81" s="39"/>
      <x:c r="U81" s="39"/>
      <x:c r="V81" s="39"/>
      <x:c r="W81" s="39"/>
      <x:c r="X81" s="39"/>
      <x:c r="Y81" s="39"/>
      <x:c r="Z81" s="39"/>
    </x:row>
    <x:row r="82">
      <x:c r="A82" s="43"/>
      <x:c r="B82" s="43"/>
      <x:c r="C82" s="43"/>
      <x:c r="D82" s="43"/>
      <x:c r="E82" s="43"/>
      <x:c r="F82" s="43"/>
      <x:c r="G82" s="43"/>
      <x:c r="H82" s="43"/>
      <x:c r="I82" s="43"/>
      <x:c r="J82" s="39"/>
      <x:c r="K82" s="39"/>
      <x:c r="L82" s="39"/>
      <x:c r="M82" s="39"/>
      <x:c r="N82" s="39"/>
      <x:c r="O82" s="39"/>
      <x:c r="P82" s="39"/>
      <x:c r="Q82" s="39"/>
      <x:c r="R82" s="39"/>
      <x:c r="S82" s="39"/>
      <x:c r="T82" s="39"/>
      <x:c r="U82" s="39"/>
      <x:c r="V82" s="39"/>
      <x:c r="W82" s="39"/>
      <x:c r="X82" s="39"/>
      <x:c r="Y82" s="39"/>
      <x:c r="Z82" s="39"/>
    </x:row>
    <x:row r="83">
      <x:c r="A83" s="43"/>
      <x:c r="B83" s="43"/>
      <x:c r="C83" s="43"/>
      <x:c r="D83" s="43"/>
      <x:c r="E83" s="43"/>
      <x:c r="F83" s="43"/>
      <x:c r="G83" s="43"/>
      <x:c r="H83" s="43"/>
      <x:c r="I83" s="43"/>
      <x:c r="J83" s="39"/>
      <x:c r="K83" s="39"/>
      <x:c r="L83" s="39"/>
      <x:c r="M83" s="39"/>
      <x:c r="N83" s="39"/>
      <x:c r="O83" s="39"/>
      <x:c r="P83" s="39"/>
      <x:c r="Q83" s="39"/>
      <x:c r="R83" s="39"/>
      <x:c r="S83" s="39"/>
      <x:c r="T83" s="39"/>
      <x:c r="U83" s="39"/>
      <x:c r="V83" s="39"/>
      <x:c r="W83" s="39"/>
      <x:c r="X83" s="39"/>
      <x:c r="Y83" s="39"/>
      <x:c r="Z83" s="39"/>
    </x:row>
    <x:row r="84">
      <x:c r="A84" s="43"/>
      <x:c r="B84" s="43"/>
      <x:c r="C84" s="43"/>
      <x:c r="D84" s="43"/>
      <x:c r="E84" s="43"/>
      <x:c r="F84" s="43"/>
      <x:c r="G84" s="43"/>
      <x:c r="H84" s="43"/>
      <x:c r="I84" s="43"/>
      <x:c r="J84" s="39"/>
      <x:c r="K84" s="39"/>
      <x:c r="L84" s="39"/>
      <x:c r="M84" s="39"/>
      <x:c r="N84" s="39"/>
      <x:c r="O84" s="39"/>
      <x:c r="P84" s="39"/>
      <x:c r="Q84" s="39"/>
      <x:c r="R84" s="39"/>
      <x:c r="S84" s="39"/>
      <x:c r="T84" s="39"/>
      <x:c r="U84" s="39"/>
      <x:c r="V84" s="39"/>
      <x:c r="W84" s="39"/>
      <x:c r="X84" s="39"/>
      <x:c r="Y84" s="39"/>
      <x:c r="Z84" s="39"/>
    </x:row>
    <x:row r="85">
      <x:c r="A85" s="43"/>
      <x:c r="B85" s="43"/>
      <x:c r="C85" s="43"/>
      <x:c r="D85" s="43"/>
      <x:c r="E85" s="43"/>
      <x:c r="F85" s="43"/>
      <x:c r="G85" s="43"/>
      <x:c r="H85" s="43"/>
      <x:c r="I85" s="43"/>
      <x:c r="J85" s="39"/>
      <x:c r="K85" s="39"/>
      <x:c r="L85" s="39"/>
      <x:c r="M85" s="39"/>
      <x:c r="N85" s="39"/>
      <x:c r="O85" s="39"/>
      <x:c r="P85" s="39"/>
      <x:c r="Q85" s="39"/>
      <x:c r="R85" s="39"/>
      <x:c r="S85" s="39"/>
      <x:c r="T85" s="39"/>
      <x:c r="U85" s="39"/>
      <x:c r="V85" s="39"/>
      <x:c r="W85" s="39"/>
      <x:c r="X85" s="39"/>
      <x:c r="Y85" s="39"/>
      <x:c r="Z85" s="39"/>
    </x:row>
    <x:row r="86">
      <x:c r="A86" s="43"/>
      <x:c r="B86" s="43"/>
      <x:c r="C86" s="43"/>
      <x:c r="D86" s="43"/>
      <x:c r="E86" s="43"/>
      <x:c r="F86" s="43"/>
      <x:c r="G86" s="43"/>
      <x:c r="H86" s="43"/>
      <x:c r="I86" s="43"/>
      <x:c r="J86" s="39"/>
      <x:c r="K86" s="39"/>
      <x:c r="L86" s="39"/>
      <x:c r="M86" s="39"/>
      <x:c r="N86" s="39"/>
      <x:c r="O86" s="39"/>
      <x:c r="P86" s="39"/>
      <x:c r="Q86" s="39"/>
      <x:c r="R86" s="39"/>
      <x:c r="S86" s="39"/>
      <x:c r="T86" s="39"/>
      <x:c r="U86" s="39"/>
      <x:c r="V86" s="39"/>
      <x:c r="W86" s="39"/>
      <x:c r="X86" s="39"/>
      <x:c r="Y86" s="39"/>
      <x:c r="Z86" s="39"/>
    </x:row>
    <x:row r="87">
      <x:c r="A87" s="43"/>
      <x:c r="B87" s="43"/>
      <x:c r="C87" s="43"/>
      <x:c r="D87" s="43"/>
      <x:c r="E87" s="43"/>
      <x:c r="F87" s="43"/>
      <x:c r="G87" s="43"/>
      <x:c r="H87" s="43"/>
      <x:c r="I87" s="43"/>
      <x:c r="J87" s="39"/>
      <x:c r="K87" s="39"/>
      <x:c r="L87" s="39"/>
      <x:c r="M87" s="39"/>
      <x:c r="N87" s="39"/>
      <x:c r="O87" s="39"/>
      <x:c r="P87" s="39"/>
      <x:c r="Q87" s="39"/>
      <x:c r="R87" s="39"/>
      <x:c r="S87" s="39"/>
      <x:c r="T87" s="39"/>
      <x:c r="U87" s="39"/>
      <x:c r="V87" s="39"/>
      <x:c r="W87" s="39"/>
      <x:c r="X87" s="39"/>
      <x:c r="Y87" s="39"/>
      <x:c r="Z87" s="39"/>
    </x:row>
    <x:row r="88">
      <x:c r="A88" s="43"/>
      <x:c r="B88" s="43"/>
      <x:c r="C88" s="43"/>
      <x:c r="D88" s="43"/>
      <x:c r="E88" s="43"/>
      <x:c r="F88" s="43"/>
      <x:c r="G88" s="43"/>
      <x:c r="H88" s="43"/>
      <x:c r="I88" s="43"/>
      <x:c r="J88" s="39"/>
      <x:c r="K88" s="39"/>
      <x:c r="L88" s="39"/>
      <x:c r="M88" s="39"/>
      <x:c r="N88" s="39"/>
      <x:c r="O88" s="39"/>
      <x:c r="P88" s="39"/>
      <x:c r="Q88" s="39"/>
      <x:c r="R88" s="39"/>
      <x:c r="S88" s="39"/>
      <x:c r="T88" s="39"/>
      <x:c r="U88" s="39"/>
      <x:c r="V88" s="39"/>
      <x:c r="W88" s="39"/>
      <x:c r="X88" s="39"/>
      <x:c r="Y88" s="39"/>
      <x:c r="Z88" s="39"/>
    </x:row>
    <x:row r="89">
      <x:c r="A89" s="43"/>
      <x:c r="B89" s="43"/>
      <x:c r="C89" s="43"/>
      <x:c r="D89" s="43"/>
      <x:c r="E89" s="43"/>
      <x:c r="F89" s="43"/>
      <x:c r="G89" s="43"/>
      <x:c r="H89" s="43"/>
      <x:c r="I89" s="43"/>
      <x:c r="J89" s="39"/>
      <x:c r="K89" s="39"/>
      <x:c r="L89" s="39"/>
      <x:c r="M89" s="39"/>
      <x:c r="N89" s="39"/>
      <x:c r="O89" s="39"/>
      <x:c r="P89" s="39"/>
      <x:c r="Q89" s="39"/>
      <x:c r="R89" s="39"/>
      <x:c r="S89" s="39"/>
      <x:c r="T89" s="39"/>
      <x:c r="U89" s="39"/>
      <x:c r="V89" s="39"/>
      <x:c r="W89" s="39"/>
      <x:c r="X89" s="39"/>
      <x:c r="Y89" s="39"/>
      <x:c r="Z89" s="39"/>
    </x:row>
    <x:row r="90">
      <x:c r="A90" s="43"/>
      <x:c r="B90" s="43"/>
      <x:c r="C90" s="43"/>
      <x:c r="D90" s="43"/>
      <x:c r="E90" s="43"/>
      <x:c r="F90" s="43"/>
      <x:c r="G90" s="43"/>
      <x:c r="H90" s="43"/>
      <x:c r="I90" s="43"/>
      <x:c r="J90" s="39"/>
      <x:c r="K90" s="39"/>
      <x:c r="L90" s="39"/>
      <x:c r="M90" s="39"/>
      <x:c r="N90" s="39"/>
      <x:c r="O90" s="39"/>
      <x:c r="P90" s="39"/>
      <x:c r="Q90" s="39"/>
      <x:c r="R90" s="39"/>
      <x:c r="S90" s="39"/>
      <x:c r="T90" s="39"/>
      <x:c r="U90" s="39"/>
      <x:c r="V90" s="39"/>
      <x:c r="W90" s="39"/>
      <x:c r="X90" s="39"/>
      <x:c r="Y90" s="39"/>
      <x:c r="Z90" s="39"/>
    </x:row>
    <x:row r="91">
      <x:c r="A91" s="43"/>
      <x:c r="B91" s="43"/>
      <x:c r="C91" s="43"/>
      <x:c r="D91" s="43"/>
      <x:c r="E91" s="43"/>
      <x:c r="F91" s="43"/>
      <x:c r="G91" s="43"/>
      <x:c r="H91" s="43"/>
      <x:c r="I91" s="43"/>
      <x:c r="J91" s="39"/>
      <x:c r="K91" s="39"/>
      <x:c r="L91" s="39"/>
      <x:c r="M91" s="39"/>
      <x:c r="N91" s="39"/>
      <x:c r="O91" s="39"/>
      <x:c r="P91" s="39"/>
      <x:c r="Q91" s="39"/>
      <x:c r="R91" s="39"/>
      <x:c r="S91" s="39"/>
      <x:c r="T91" s="39"/>
      <x:c r="U91" s="39"/>
      <x:c r="V91" s="39"/>
      <x:c r="W91" s="39"/>
      <x:c r="X91" s="39"/>
      <x:c r="Y91" s="39"/>
      <x:c r="Z91" s="39"/>
    </x:row>
    <x:row r="92">
      <x:c r="A92" s="43"/>
      <x:c r="B92" s="43"/>
      <x:c r="C92" s="43"/>
      <x:c r="D92" s="43"/>
      <x:c r="E92" s="43"/>
      <x:c r="F92" s="43"/>
      <x:c r="G92" s="43"/>
      <x:c r="H92" s="43"/>
      <x:c r="I92" s="43"/>
      <x:c r="J92" s="39"/>
      <x:c r="K92" s="39"/>
      <x:c r="L92" s="39"/>
      <x:c r="M92" s="39"/>
      <x:c r="N92" s="39"/>
      <x:c r="O92" s="39"/>
      <x:c r="P92" s="39"/>
      <x:c r="Q92" s="39"/>
      <x:c r="R92" s="39"/>
      <x:c r="S92" s="39"/>
      <x:c r="T92" s="39"/>
      <x:c r="U92" s="39"/>
      <x:c r="V92" s="39"/>
      <x:c r="W92" s="39"/>
      <x:c r="X92" s="39"/>
      <x:c r="Y92" s="39"/>
      <x:c r="Z92" s="39"/>
    </x:row>
    <x:row r="93">
      <x:c r="A93" s="43"/>
      <x:c r="B93" s="43"/>
      <x:c r="C93" s="43"/>
      <x:c r="D93" s="43"/>
      <x:c r="E93" s="43"/>
      <x:c r="F93" s="43"/>
      <x:c r="G93" s="43"/>
      <x:c r="H93" s="43"/>
      <x:c r="I93" s="43"/>
      <x:c r="J93" s="39"/>
      <x:c r="K93" s="39"/>
      <x:c r="L93" s="39"/>
      <x:c r="M93" s="39"/>
      <x:c r="N93" s="39"/>
      <x:c r="O93" s="39"/>
      <x:c r="P93" s="39"/>
      <x:c r="Q93" s="39"/>
      <x:c r="R93" s="39"/>
      <x:c r="S93" s="39"/>
      <x:c r="T93" s="39"/>
      <x:c r="U93" s="39"/>
      <x:c r="V93" s="39"/>
      <x:c r="W93" s="39"/>
      <x:c r="X93" s="39"/>
      <x:c r="Y93" s="39"/>
      <x:c r="Z93" s="39"/>
    </x:row>
    <x:row r="94">
      <x:c r="A94" s="43"/>
      <x:c r="B94" s="43"/>
      <x:c r="C94" s="43"/>
      <x:c r="D94" s="43"/>
      <x:c r="E94" s="43"/>
      <x:c r="F94" s="43"/>
      <x:c r="G94" s="43"/>
      <x:c r="H94" s="43"/>
      <x:c r="I94" s="43"/>
      <x:c r="J94" s="39"/>
      <x:c r="K94" s="39"/>
      <x:c r="L94" s="39"/>
      <x:c r="M94" s="39"/>
      <x:c r="N94" s="39"/>
      <x:c r="O94" s="39"/>
      <x:c r="P94" s="39"/>
      <x:c r="Q94" s="39"/>
      <x:c r="R94" s="39"/>
      <x:c r="S94" s="39"/>
      <x:c r="T94" s="39"/>
      <x:c r="U94" s="39"/>
      <x:c r="V94" s="39"/>
      <x:c r="W94" s="39"/>
      <x:c r="X94" s="39"/>
      <x:c r="Y94" s="39"/>
      <x:c r="Z94" s="39"/>
    </x:row>
    <x:row r="95">
      <x:c r="A95" s="43"/>
      <x:c r="B95" s="43"/>
      <x:c r="C95" s="43"/>
      <x:c r="D95" s="43"/>
      <x:c r="E95" s="43"/>
      <x:c r="F95" s="43"/>
      <x:c r="G95" s="43"/>
      <x:c r="H95" s="43"/>
      <x:c r="I95" s="43"/>
      <x:c r="J95" s="39"/>
      <x:c r="K95" s="39"/>
      <x:c r="L95" s="39"/>
      <x:c r="M95" s="39"/>
      <x:c r="N95" s="39"/>
      <x:c r="O95" s="39"/>
      <x:c r="P95" s="39"/>
      <x:c r="Q95" s="39"/>
      <x:c r="R95" s="39"/>
      <x:c r="S95" s="39"/>
      <x:c r="T95" s="39"/>
      <x:c r="U95" s="39"/>
      <x:c r="V95" s="39"/>
      <x:c r="W95" s="39"/>
      <x:c r="X95" s="39"/>
      <x:c r="Y95" s="39"/>
      <x:c r="Z95" s="39"/>
    </x:row>
    <x:row r="96">
      <x:c r="A96" s="43"/>
      <x:c r="B96" s="43"/>
      <x:c r="C96" s="43"/>
      <x:c r="D96" s="43"/>
      <x:c r="E96" s="43"/>
      <x:c r="F96" s="43"/>
      <x:c r="G96" s="43"/>
      <x:c r="H96" s="43"/>
      <x:c r="I96" s="43"/>
      <x:c r="J96" s="39"/>
      <x:c r="K96" s="39"/>
      <x:c r="L96" s="39"/>
      <x:c r="M96" s="39"/>
      <x:c r="N96" s="39"/>
      <x:c r="O96" s="39"/>
      <x:c r="P96" s="39"/>
      <x:c r="Q96" s="39"/>
      <x:c r="R96" s="39"/>
      <x:c r="S96" s="39"/>
      <x:c r="T96" s="39"/>
      <x:c r="U96" s="39"/>
      <x:c r="V96" s="39"/>
      <x:c r="W96" s="39"/>
      <x:c r="X96" s="39"/>
      <x:c r="Y96" s="39"/>
      <x:c r="Z96" s="39"/>
    </x:row>
    <x:row r="97">
      <x:c r="A97" s="43"/>
      <x:c r="B97" s="43"/>
      <x:c r="C97" s="43"/>
      <x:c r="D97" s="43"/>
      <x:c r="E97" s="43"/>
      <x:c r="F97" s="43"/>
      <x:c r="G97" s="43"/>
      <x:c r="H97" s="43"/>
      <x:c r="I97" s="43"/>
      <x:c r="J97" s="39"/>
      <x:c r="K97" s="39"/>
      <x:c r="L97" s="39"/>
      <x:c r="M97" s="39"/>
      <x:c r="N97" s="39"/>
      <x:c r="O97" s="39"/>
      <x:c r="P97" s="39"/>
      <x:c r="Q97" s="39"/>
      <x:c r="R97" s="39"/>
      <x:c r="S97" s="39"/>
      <x:c r="T97" s="39"/>
      <x:c r="U97" s="39"/>
      <x:c r="V97" s="39"/>
      <x:c r="W97" s="39"/>
      <x:c r="X97" s="39"/>
      <x:c r="Y97" s="39"/>
      <x:c r="Z97" s="39"/>
    </x:row>
    <x:row r="98">
      <x:c r="A98" s="43"/>
      <x:c r="B98" s="43"/>
      <x:c r="C98" s="43"/>
      <x:c r="D98" s="43"/>
      <x:c r="E98" s="43"/>
      <x:c r="F98" s="43"/>
      <x:c r="G98" s="43"/>
      <x:c r="H98" s="43"/>
      <x:c r="I98" s="43"/>
      <x:c r="J98" s="39"/>
      <x:c r="K98" s="39"/>
      <x:c r="L98" s="39"/>
      <x:c r="M98" s="39"/>
      <x:c r="N98" s="39"/>
      <x:c r="O98" s="39"/>
      <x:c r="P98" s="39"/>
      <x:c r="Q98" s="39"/>
      <x:c r="R98" s="39"/>
      <x:c r="S98" s="39"/>
      <x:c r="T98" s="39"/>
      <x:c r="U98" s="39"/>
      <x:c r="V98" s="39"/>
      <x:c r="W98" s="39"/>
      <x:c r="X98" s="39"/>
      <x:c r="Y98" s="39"/>
      <x:c r="Z98" s="39"/>
    </x:row>
    <x:row r="99">
      <x:c r="A99" s="43"/>
      <x:c r="B99" s="43"/>
      <x:c r="C99" s="43"/>
      <x:c r="D99" s="43"/>
      <x:c r="E99" s="43"/>
      <x:c r="F99" s="43"/>
      <x:c r="G99" s="43"/>
      <x:c r="H99" s="43"/>
      <x:c r="I99" s="43"/>
      <x:c r="J99" s="39"/>
      <x:c r="K99" s="39"/>
      <x:c r="L99" s="39"/>
      <x:c r="M99" s="39"/>
      <x:c r="N99" s="39"/>
      <x:c r="O99" s="39"/>
      <x:c r="P99" s="39"/>
      <x:c r="Q99" s="39"/>
      <x:c r="R99" s="39"/>
      <x:c r="S99" s="39"/>
      <x:c r="T99" s="39"/>
      <x:c r="U99" s="39"/>
      <x:c r="V99" s="39"/>
      <x:c r="W99" s="39"/>
      <x:c r="X99" s="39"/>
      <x:c r="Y99" s="39"/>
      <x:c r="Z99" s="39"/>
    </x:row>
    <x:row r="100">
      <x:c r="A100" s="43"/>
      <x:c r="B100" s="43"/>
      <x:c r="C100" s="43"/>
      <x:c r="D100" s="43"/>
      <x:c r="E100" s="43"/>
      <x:c r="F100" s="43"/>
      <x:c r="G100" s="43"/>
      <x:c r="H100" s="43"/>
      <x:c r="I100" s="43"/>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H4:H100">
      <x:formula1>"Open,In Progress,Resolved,Deferred"</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2" hidden="0" customWidth="1"/>
    <x:col min="2" max="2" width="14" hidden="0" customWidth="1"/>
    <x:col min="3" max="3" width="38" hidden="0" customWidth="1"/>
    <x:col min="4" max="4" width="42" hidden="0" customWidth="1"/>
    <x:col min="5" max="5" width="34" hidden="0" customWidth="1"/>
    <x:col min="6" max="6" width="36" hidden="0" customWidth="1"/>
    <x:col min="7" max="7" width="16" hidden="0" customWidth="1"/>
    <x:col min="8" max="8" width="36" hidden="0" customWidth="1"/>
  </x:cols>
  <x:sheetData>
    <x:row r="1">
      <x:c r="A1" s="38" t="str">
        <x:v>Design Decision Log</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42" t="str">
        <x:v>Decision ID</x:v>
      </x:c>
      <x:c r="B3" s="42" t="str">
        <x:v>Date</x:v>
      </x:c>
      <x:c r="C3" s="42" t="str">
        <x:v>Decision</x:v>
      </x:c>
      <x:c r="D3" s="42" t="str">
        <x:v>Reason</x:v>
      </x:c>
      <x:c r="E3" s="42" t="str">
        <x:v>Alternatives Considered</x:v>
      </x:c>
      <x:c r="F3" s="42" t="str">
        <x:v>Impact</x:v>
      </x:c>
      <x:c r="G3" s="42" t="str">
        <x:v>Status</x:v>
      </x:c>
      <x:c r="H3" s="42" t="str">
        <x:v>Notes</x:v>
      </x:c>
      <x:c r="I3" s="39"/>
      <x:c r="J3" s="39"/>
      <x:c r="K3" s="39"/>
      <x:c r="L3" s="39"/>
      <x:c r="M3" s="39"/>
      <x:c r="N3" s="39"/>
      <x:c r="O3" s="39"/>
      <x:c r="P3" s="39"/>
      <x:c r="Q3" s="39"/>
      <x:c r="R3" s="39"/>
      <x:c r="S3" s="39"/>
      <x:c r="T3" s="39"/>
      <x:c r="U3" s="39"/>
      <x:c r="V3" s="39"/>
      <x:c r="W3" s="39"/>
      <x:c r="X3" s="39"/>
      <x:c r="Y3" s="39"/>
      <x:c r="Z3" s="39"/>
    </x:row>
    <x:row r="4">
      <x:c r="A4" s="43" t="str">
        <x:v>D1</x:v>
      </x:c>
      <x:c r="B4" s="50" t="n">
        <x:v>46146</x:v>
      </x:c>
      <x:c r="C4" s="43" t="str">
        <x:v>Use simulation-first workflow</x:v>
      </x:c>
      <x:c r="D4" s="43" t="str">
        <x:v>User has physical nodes but wants to start with simulation</x:v>
      </x:c>
      <x:c r="E4" s="43" t="str">
        <x:v>Hardware-first development</x:v>
      </x:c>
      <x:c r="F4" s="43" t="str">
        <x:v>Reduces debugging risk</x:v>
      </x:c>
      <x:c r="G4" s="43" t="str">
        <x:v>Accepted</x:v>
      </x:c>
      <x:c r="H4" s="43" t="str"/>
      <x:c r="I4" s="39"/>
      <x:c r="J4" s="39"/>
      <x:c r="K4" s="39"/>
      <x:c r="L4" s="39"/>
      <x:c r="M4" s="39"/>
      <x:c r="N4" s="39"/>
      <x:c r="O4" s="39"/>
      <x:c r="P4" s="39"/>
      <x:c r="Q4" s="39"/>
      <x:c r="R4" s="39"/>
      <x:c r="S4" s="39"/>
      <x:c r="T4" s="39"/>
      <x:c r="U4" s="39"/>
      <x:c r="V4" s="39"/>
      <x:c r="W4" s="39"/>
      <x:c r="X4" s="39"/>
      <x:c r="Y4" s="39"/>
      <x:c r="Z4" s="39"/>
    </x:row>
    <x:row r="5">
      <x:c r="A5" s="43" t="str">
        <x:v>D2</x:v>
      </x:c>
      <x:c r="B5" s="50" t="n">
        <x:v>46146</x:v>
      </x:c>
      <x:c r="C5" s="43" t="str">
        <x:v>Start with controlled reliable mesh instead of full AODV</x:v>
      </x:c>
      <x:c r="D5" s="43" t="str">
        <x:v>AODV on LoRa ESP32 is complex and hard to debug initially</x:v>
      </x:c>
      <x:c r="E5" s="43" t="str">
        <x:v>Full AODV immediately</x:v>
      </x:c>
      <x:c r="F5" s="43" t="str">
        <x:v>Faster prototype; can evolve later</x:v>
      </x:c>
      <x:c r="G5" s="43" t="str">
        <x:v>Recommended</x:v>
      </x:c>
      <x:c r="H5" s="43" t="str"/>
      <x:c r="I5" s="39"/>
      <x:c r="J5" s="39"/>
      <x:c r="K5" s="39"/>
      <x:c r="L5" s="39"/>
      <x:c r="M5" s="39"/>
      <x:c r="N5" s="39"/>
      <x:c r="O5" s="39"/>
      <x:c r="P5" s="39"/>
      <x:c r="Q5" s="39"/>
      <x:c r="R5" s="39"/>
      <x:c r="S5" s="39"/>
      <x:c r="T5" s="39"/>
      <x:c r="U5" s="39"/>
      <x:c r="V5" s="39"/>
      <x:c r="W5" s="39"/>
      <x:c r="X5" s="39"/>
      <x:c r="Y5" s="39"/>
      <x:c r="Z5" s="39"/>
    </x:row>
    <x:row r="6">
      <x:c r="A6" s="43" t="str">
        <x:v>D3</x:v>
      </x:c>
      <x:c r="B6" s="50" t="n">
        <x:v>46146</x:v>
      </x:c>
      <x:c r="C6" s="43" t="str">
        <x:v>If destination is not local, route to next network via gateway</x:v>
      </x:c>
      <x:c r="D6" s="43" t="str">
        <x:v>User requirement</x:v>
      </x:c>
      <x:c r="E6" s="43" t="str">
        <x:v>Drop unknown destinations</x:v>
      </x:c>
      <x:c r="F6" s="43" t="str">
        <x:v>Enables Network A to B messaging</x:v>
      </x:c>
      <x:c r="G6" s="43" t="str">
        <x:v>Accepted</x:v>
      </x:c>
      <x:c r="H6" s="43" t="str"/>
      <x:c r="I6" s="39"/>
      <x:c r="J6" s="39"/>
      <x:c r="K6" s="39"/>
      <x:c r="L6" s="39"/>
      <x:c r="M6" s="39"/>
      <x:c r="N6" s="39"/>
      <x:c r="O6" s="39"/>
      <x:c r="P6" s="39"/>
      <x:c r="Q6" s="39"/>
      <x:c r="R6" s="39"/>
      <x:c r="S6" s="39"/>
      <x:c r="T6" s="39"/>
      <x:c r="U6" s="39"/>
      <x:c r="V6" s="39"/>
      <x:c r="W6" s="39"/>
      <x:c r="X6" s="39"/>
      <x:c r="Y6" s="39"/>
      <x:c r="Z6" s="39"/>
    </x:row>
    <x:row r="7">
      <x:c r="A7" s="43" t="str">
        <x:v>D4</x:v>
      </x:c>
      <x:c r="B7" s="50" t="n">
        <x:v>46146</x:v>
      </x:c>
      <x:c r="C7" s="43" t="str">
        <x:v>Develop ESP32 code, then Raspberry Pi gateway, then Android app</x:v>
      </x:c>
      <x:c r="D7" s="43" t="str">
        <x:v>User requested order</x:v>
      </x:c>
      <x:c r="E7" s="43" t="str">
        <x:v>Android first</x:v>
      </x:c>
      <x:c r="F7" s="43" t="str">
        <x:v>Ensures app integrates with stable backend</x:v>
      </x:c>
      <x:c r="G7" s="43" t="str">
        <x:v>Accepted</x:v>
      </x:c>
      <x:c r="H7" s="43" t="str"/>
      <x:c r="I7" s="39"/>
      <x:c r="J7" s="39"/>
      <x:c r="K7" s="39"/>
      <x:c r="L7" s="39"/>
      <x:c r="M7" s="39"/>
      <x:c r="N7" s="39"/>
      <x:c r="O7" s="39"/>
      <x:c r="P7" s="39"/>
      <x:c r="Q7" s="39"/>
      <x:c r="R7" s="39"/>
      <x:c r="S7" s="39"/>
      <x:c r="T7" s="39"/>
      <x:c r="U7" s="39"/>
      <x:c r="V7" s="39"/>
      <x:c r="W7" s="39"/>
      <x:c r="X7" s="39"/>
      <x:c r="Y7" s="39"/>
      <x:c r="Z7" s="39"/>
    </x:row>
    <x:row r="8">
      <x:c r="A8" s="43"/>
      <x:c r="B8" s="50"/>
      <x:c r="C8" s="43"/>
      <x:c r="D8" s="43"/>
      <x:c r="E8" s="43"/>
      <x:c r="F8" s="43"/>
      <x:c r="G8" s="43"/>
      <x:c r="H8" s="43"/>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worksheet>
</file>

<file path=xl/worksheets/sheet1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ht="22" customHeight="1">
      <x:c r="A1" s="165" t="str">
        <x:v>System Architecture Diagram - Test Procedure Aligned</x:v>
      </x:c>
    </x:row>
    <x:row r="2" ht="22" customHeight="1">
      <x:c r="A2" s="177" t="str">
        <x:v>Updated to prioritize DOCX test procedures: baseline MANET, RSSI degradation detection, failover activation, sustained operation, and recovery.</x:v>
      </x:c>
    </x:row>
    <x:row r="3" ht="22" customHeight="1">
      <x:c r="A3"/>
      <x:c r="I3"/>
    </x:row>
    <x:row r="4" ht="22" customHeight="1"/>
    <x:row r="5" ht="22" customHeight="1">
      <x:c r="B5"/>
      <x:c r="C5"/>
      <x:c r="D5"/>
      <x:c r="E5"/>
      <x:c r="J5"/>
      <x:c r="K5"/>
      <x:c r="L5"/>
      <x:c r="M5"/>
    </x:row>
    <x:row r="6" ht="22" customHeight="1">
      <x:c r="B6"/>
      <x:c r="C6"/>
      <x:c r="D6"/>
      <x:c r="E6"/>
      <x:c r="J6"/>
      <x:c r="K6"/>
      <x:c r="L6"/>
      <x:c r="M6"/>
    </x:row>
    <x:row r="7" ht="22" customHeight="1">
      <x:c r="C7"/>
      <x:c r="D7"/>
      <x:c r="K7"/>
      <x:c r="L7"/>
    </x:row>
    <x:row r="8" ht="22" customHeight="1">
      <x:c r="C8"/>
      <x:c r="D8"/>
      <x:c r="K8"/>
      <x:c r="L8"/>
    </x:row>
    <x:row r="9" ht="22" customHeight="1">
      <x:c r="C9"/>
      <x:c r="D9"/>
      <x:c r="K9"/>
      <x:c r="L9"/>
    </x:row>
    <x:row r="10" ht="22" customHeight="1">
      <x:c r="C10"/>
      <x:c r="K10"/>
    </x:row>
    <x:row r="11" ht="22" customHeight="1">
      <x:c r="B11"/>
      <x:c r="C11"/>
      <x:c r="D11"/>
      <x:c r="E11"/>
      <x:c r="J11"/>
      <x:c r="K11"/>
      <x:c r="L11"/>
      <x:c r="M11"/>
    </x:row>
    <x:row r="12" ht="22" customHeight="1">
      <x:c r="B12"/>
      <x:c r="C12"/>
      <x:c r="D12"/>
      <x:c r="E12"/>
      <x:c r="J12"/>
      <x:c r="K12"/>
      <x:c r="L12"/>
      <x:c r="M12"/>
    </x:row>
    <x:row r="13" ht="22" customHeight="1">
      <x:c r="C13"/>
      <x:c r="D13"/>
      <x:c r="K13"/>
      <x:c r="L13"/>
    </x:row>
    <x:row r="14" ht="22" customHeight="1">
      <x:c r="C14"/>
      <x:c r="D14"/>
      <x:c r="K14"/>
      <x:c r="L14"/>
    </x:row>
    <x:row r="15" ht="22" customHeight="1">
      <x:c r="C15"/>
      <x:c r="D15"/>
      <x:c r="K15"/>
      <x:c r="L15"/>
    </x:row>
    <x:row r="16" ht="22" customHeight="1">
      <x:c r="C16"/>
      <x:c r="K16"/>
    </x:row>
    <x:row r="17" ht="22" customHeight="1"/>
    <x:row r="18" ht="22" customHeight="1">
      <x:c r="B18"/>
      <x:c r="C18"/>
      <x:c r="D18"/>
      <x:c r="E18"/>
      <x:c r="J18"/>
      <x:c r="K18"/>
      <x:c r="L18"/>
      <x:c r="M18"/>
    </x:row>
    <x:row r="19" ht="22" customHeight="1">
      <x:c r="B19"/>
      <x:c r="C19"/>
      <x:c r="D19"/>
      <x:c r="E19"/>
      <x:c r="J19"/>
      <x:c r="K19"/>
      <x:c r="L19"/>
      <x:c r="M19"/>
    </x:row>
    <x:row r="20" ht="22" customHeight="1">
      <x:c r="B20"/>
      <x:c r="C20"/>
      <x:c r="D20"/>
      <x:c r="E20"/>
      <x:c r="J20"/>
      <x:c r="K20"/>
      <x:c r="L20"/>
      <x:c r="M20"/>
    </x:row>
    <x:row r="21" ht="22" customHeight="1">
      <x:c r="C21"/>
      <x:c r="K21"/>
    </x:row>
    <x:row r="22" ht="22" customHeight="1"/>
    <x:row r="23" ht="22" customHeight="1">
      <x:c r="B23"/>
      <x:c r="C23"/>
      <x:c r="D23"/>
      <x:c r="E23"/>
      <x:c r="J23"/>
      <x:c r="K23"/>
      <x:c r="L23"/>
      <x:c r="M23"/>
    </x:row>
    <x:row r="24" ht="22" customHeight="1">
      <x:c r="B24"/>
      <x:c r="C24"/>
      <x:c r="D24"/>
      <x:c r="E24"/>
      <x:c r="J24"/>
      <x:c r="K24"/>
      <x:c r="L24"/>
      <x:c r="M24"/>
    </x:row>
    <x:row r="25" ht="22" customHeight="1">
      <x:c r="D25"/>
      <x:c r="J25"/>
    </x:row>
    <x:row r="26" ht="22" customHeight="1">
      <x:c r="G26"/>
      <x:c r="H26"/>
    </x:row>
    <x:row r="27" ht="22" customHeight="1">
      <x:c r="F27"/>
      <x:c r="G27"/>
      <x:c r="H27"/>
      <x:c r="I27"/>
    </x:row>
    <x:row r="28" ht="22" customHeight="1">
      <x:c r="G28"/>
      <x:c r="H28"/>
    </x:row>
    <x:row r="29" ht="22" customHeight="1"/>
    <x:row r="30" ht="22" customHeight="1"/>
    <x:row r="31" ht="22" customHeight="1">
      <x:c r="A31"/>
    </x:row>
    <x:row r="32" ht="22" customHeight="1">
      <x:c r="A32"/>
      <x:c r="B32"/>
      <x:c r="C32"/>
      <x:c r="D32"/>
      <x:c r="E32"/>
      <x:c r="F32"/>
      <x:c r="G32"/>
      <x:c r="H32"/>
      <x:c r="I32"/>
      <x:c r="J32"/>
      <x:c r="K32"/>
      <x:c r="L32"/>
      <x:c r="M32"/>
      <x:c r="N32"/>
    </x:row>
    <x:row r="33" ht="22" customHeight="1">
      <x:c r="A33"/>
      <x:c r="B33"/>
      <x:c r="C33"/>
      <x:c r="D33"/>
      <x:c r="E33"/>
      <x:c r="F33"/>
      <x:c r="G33"/>
      <x:c r="H33"/>
      <x:c r="I33"/>
      <x:c r="J33"/>
      <x:c r="K33"/>
      <x:c r="L33"/>
      <x:c r="M33"/>
      <x:c r="N33"/>
    </x:row>
    <x:row r="34" ht="22" customHeight="1">
      <x:c r="A34"/>
      <x:c r="B34"/>
      <x:c r="C34"/>
      <x:c r="D34"/>
      <x:c r="E34"/>
      <x:c r="F34"/>
      <x:c r="G34"/>
      <x:c r="H34"/>
      <x:c r="I34"/>
      <x:c r="J34"/>
      <x:c r="K34"/>
      <x:c r="L34"/>
      <x:c r="M34"/>
      <x:c r="N34"/>
    </x:row>
    <x:row r="35" ht="22" customHeight="1"/>
    <x:row r="36" ht="22" customHeight="1"/>
    <x:row r="37" ht="22" customHeight="1"/>
    <x:row r="38" ht="22" customHeight="1"/>
    <x:row r="39" ht="22" customHeight="1"/>
    <x:row r="40" ht="22" customHeight="1"/>
    <x:row r="41" ht="22" customHeight="1"/>
    <x:row r="42" ht="22" customHeight="1"/>
    <x:row r="43" ht="22" customHeight="1"/>
    <x:row r="44" ht="22" customHeight="1"/>
    <x:row r="45" ht="22" customHeight="1"/>
  </x:sheetData>
  <x:mergeCells>
    <x:mergeCell ref="A1:N1"/>
    <x:mergeCell ref="A3:F3"/>
    <x:mergeCell ref="I3:N3"/>
    <x:mergeCell ref="B5:C6"/>
    <x:mergeCell ref="D5:E6"/>
    <x:mergeCell ref="C8:D9"/>
    <x:mergeCell ref="B11:C12"/>
    <x:mergeCell ref="D11:E12"/>
    <x:mergeCell ref="C14:D15"/>
    <x:mergeCell ref="B18:E20"/>
    <x:mergeCell ref="B23:E24"/>
    <x:mergeCell ref="J5:K6"/>
    <x:mergeCell ref="L5:M6"/>
    <x:mergeCell ref="K8:L9"/>
    <x:mergeCell ref="J11:K12"/>
    <x:mergeCell ref="L11:M12"/>
    <x:mergeCell ref="K14:L15"/>
    <x:mergeCell ref="J18:M20"/>
    <x:mergeCell ref="J23:M24"/>
    <x:mergeCell ref="G26:H28"/>
    <x:mergeCell ref="A31:N31"/>
    <x:mergeCell ref="B32:N32"/>
    <x:mergeCell ref="B33:N33"/>
    <x:mergeCell ref="B34:N34"/>
    <x:mergeCell ref="A2:N2"/>
  </x:mergeCells>
  <x:pageMargins left="0.7" right="0.7" top="0.75" bottom="0.75" header="0.3" footer="0.3"/>
  <x:drawing xmlns:r="http://schemas.openxmlformats.org/officeDocument/2006/relationships" r:id="Rd44ba7b9f6c04493"/>
</x:worksheet>
</file>

<file path=xl/worksheets/sheet1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ht="22" customHeight="1">
      <x:c r="A1" s="165" t="str">
        <x:v>Message / Data Flow Diagram - Test Procedure Aligned</x:v>
      </x:c>
    </x:row>
    <x:row r="2" ht="22" customHeight="1">
      <x:c r="A2" s="177" t="str">
        <x:v>Updated to prioritize DOCX test procedures: baseline MANET, RSSI degradation detection, failover activation, sustained operation, and recovery.</x:v>
      </x:c>
    </x:row>
    <x:row r="3" ht="22" customHeight="1">
      <x:c r="A3"/>
      <x:c r="B3"/>
      <x:c r="C3"/>
      <x:c r="D3"/>
      <x:c r="E3"/>
      <x:c r="F3"/>
      <x:c r="G3"/>
      <x:c r="H3"/>
      <x:c r="I3"/>
      <x:c r="J3"/>
      <x:c r="K3"/>
      <x:c r="L3"/>
      <x:c r="M3"/>
      <x:c r="N3"/>
    </x:row>
    <x:row r="4" ht="22" customHeight="1">
      <x:c r="A4"/>
      <x:c r="B4"/>
      <x:c r="C4"/>
      <x:c r="D4"/>
      <x:c r="E4"/>
      <x:c r="F4"/>
      <x:c r="G4"/>
      <x:c r="H4"/>
      <x:c r="I4"/>
      <x:c r="J4"/>
      <x:c r="K4"/>
      <x:c r="L4"/>
      <x:c r="M4"/>
      <x:c r="N4"/>
    </x:row>
    <x:row r="5" ht="22" customHeight="1">
      <x:c r="A5"/>
      <x:c r="B5"/>
      <x:c r="C5"/>
      <x:c r="D5"/>
      <x:c r="E5"/>
      <x:c r="F5"/>
      <x:c r="G5"/>
      <x:c r="H5"/>
      <x:c r="I5"/>
      <x:c r="J5"/>
      <x:c r="K5"/>
      <x:c r="L5"/>
      <x:c r="M5"/>
      <x:c r="N5"/>
    </x:row>
    <x:row r="6" ht="22" customHeight="1">
      <x:c r="A6"/>
      <x:c r="B6"/>
      <x:c r="C6"/>
      <x:c r="D6"/>
      <x:c r="E6"/>
      <x:c r="F6"/>
      <x:c r="G6"/>
      <x:c r="H6"/>
      <x:c r="I6"/>
      <x:c r="J6"/>
      <x:c r="K6"/>
      <x:c r="L6"/>
      <x:c r="M6"/>
      <x:c r="N6"/>
    </x:row>
    <x:row r="7" ht="22" customHeight="1">
      <x:c r="A7"/>
      <x:c r="B7"/>
      <x:c r="C7"/>
      <x:c r="D7"/>
      <x:c r="E7"/>
      <x:c r="F7"/>
      <x:c r="G7"/>
      <x:c r="H7"/>
      <x:c r="I7"/>
      <x:c r="J7"/>
      <x:c r="K7"/>
      <x:c r="L7"/>
      <x:c r="M7"/>
      <x:c r="N7"/>
    </x:row>
    <x:row r="8" ht="22" customHeight="1">
      <x:c r="A8"/>
      <x:c r="B8"/>
      <x:c r="C8"/>
      <x:c r="D8"/>
      <x:c r="E8"/>
      <x:c r="F8"/>
      <x:c r="G8"/>
      <x:c r="H8"/>
      <x:c r="I8"/>
      <x:c r="J8"/>
      <x:c r="K8"/>
      <x:c r="L8"/>
      <x:c r="M8"/>
      <x:c r="N8"/>
    </x:row>
    <x:row r="9" ht="22" customHeight="1">
      <x:c r="A9"/>
      <x:c r="B9"/>
      <x:c r="C9"/>
      <x:c r="D9"/>
      <x:c r="E9"/>
      <x:c r="F9"/>
      <x:c r="G9"/>
      <x:c r="H9"/>
      <x:c r="I9"/>
      <x:c r="J9"/>
      <x:c r="K9"/>
      <x:c r="L9"/>
      <x:c r="M9"/>
      <x:c r="N9"/>
    </x:row>
    <x:row r="10" ht="22" customHeight="1"/>
    <x:row r="11" ht="22" customHeight="1"/>
    <x:row r="12" ht="22" customHeight="1">
      <x:c r="A12"/>
    </x:row>
    <x:row r="13" ht="22" customHeight="1"/>
    <x:row r="14" ht="22" customHeight="1">
      <x:c r="A14"/>
      <x:c r="B14"/>
      <x:c r="D14"/>
      <x:c r="E14"/>
      <x:c r="G14"/>
      <x:c r="H14"/>
      <x:c r="J14"/>
      <x:c r="K14"/>
      <x:c r="M14"/>
      <x:c r="N14"/>
    </x:row>
    <x:row r="15" ht="22" customHeight="1">
      <x:c r="A15"/>
      <x:c r="B15"/>
      <x:c r="C15"/>
      <x:c r="D15"/>
      <x:c r="E15"/>
      <x:c r="F15"/>
      <x:c r="G15"/>
      <x:c r="H15"/>
      <x:c r="I15"/>
      <x:c r="J15"/>
      <x:c r="K15"/>
      <x:c r="L15"/>
      <x:c r="M15"/>
      <x:c r="N15"/>
    </x:row>
    <x:row r="16" ht="22" customHeight="1">
      <x:c r="A16"/>
      <x:c r="B16"/>
      <x:c r="D16"/>
      <x:c r="E16"/>
      <x:c r="G16"/>
      <x:c r="H16"/>
      <x:c r="J16"/>
      <x:c r="K16"/>
      <x:c r="M16"/>
      <x:c r="N16"/>
    </x:row>
    <x:row r="17" ht="22" customHeight="1"/>
    <x:row r="18" ht="22" customHeight="1">
      <x:c r="E18"/>
      <x:c r="J18"/>
    </x:row>
    <x:row r="19" ht="22" customHeight="1"/>
    <x:row r="20" ht="22" customHeight="1">
      <x:c r="D20"/>
      <x:c r="E20"/>
      <x:c r="G20"/>
      <x:c r="H20"/>
      <x:c r="J20"/>
      <x:c r="K20"/>
    </x:row>
    <x:row r="21" ht="22" customHeight="1">
      <x:c r="D21"/>
      <x:c r="E21"/>
      <x:c r="F21"/>
      <x:c r="G21"/>
      <x:c r="H21"/>
      <x:c r="I21"/>
      <x:c r="J21"/>
      <x:c r="K21"/>
    </x:row>
    <x:row r="22" ht="22" customHeight="1">
      <x:c r="D22"/>
      <x:c r="E22"/>
      <x:c r="G22"/>
      <x:c r="H22"/>
      <x:c r="J22"/>
      <x:c r="K22"/>
    </x:row>
    <x:row r="23" ht="22" customHeight="1"/>
    <x:row r="24" ht="22" customHeight="1"/>
    <x:row r="25" ht="22" customHeight="1"/>
    <x:row r="26" ht="22" customHeight="1">
      <x:c r="A26"/>
    </x:row>
    <x:row r="27" ht="22" customHeight="1">
      <x:c r="A27"/>
      <x:c r="B27"/>
      <x:c r="C27"/>
      <x:c r="D27"/>
      <x:c r="E27"/>
      <x:c r="F27"/>
    </x:row>
    <x:row r="28" ht="22" customHeight="1">
      <x:c r="A28"/>
      <x:c r="B28"/>
      <x:c r="C28"/>
      <x:c r="D28"/>
      <x:c r="E28"/>
      <x:c r="F28"/>
    </x:row>
    <x:row r="29" ht="22" customHeight="1">
      <x:c r="A29"/>
      <x:c r="B29"/>
      <x:c r="C29"/>
      <x:c r="D29"/>
      <x:c r="E29"/>
      <x:c r="F29"/>
    </x:row>
    <x:row r="30" ht="22" customHeight="1">
      <x:c r="A30"/>
      <x:c r="B30"/>
      <x:c r="C30"/>
      <x:c r="D30"/>
      <x:c r="E30"/>
      <x:c r="F30"/>
    </x:row>
    <x:row r="31" ht="22" customHeight="1">
      <x:c r="A31"/>
      <x:c r="B31"/>
      <x:c r="C31"/>
      <x:c r="D31"/>
      <x:c r="E31"/>
      <x:c r="F31"/>
    </x:row>
    <x:row r="32" ht="22" customHeight="1">
      <x:c r="A32"/>
      <x:c r="B32"/>
      <x:c r="C32"/>
      <x:c r="D32"/>
      <x:c r="E32"/>
      <x:c r="F32"/>
    </x:row>
    <x:row r="33" ht="22" customHeight="1">
      <x:c r="A33"/>
      <x:c r="B33"/>
      <x:c r="C33"/>
      <x:c r="D33"/>
      <x:c r="E33"/>
      <x:c r="F33"/>
    </x:row>
    <x:row r="34" ht="22" customHeight="1"/>
    <x:row r="35" ht="22" customHeight="1"/>
    <x:row r="36" ht="22" customHeight="1"/>
    <x:row r="37" ht="22" customHeight="1"/>
    <x:row r="38" ht="22" customHeight="1"/>
    <x:row r="39" ht="22" customHeight="1"/>
    <x:row r="40" ht="22" customHeight="1"/>
    <x:row r="41" ht="22" customHeight="1"/>
    <x:row r="42" ht="22" customHeight="1"/>
    <x:row r="43" ht="22" customHeight="1"/>
    <x:row r="44" ht="22" customHeight="1"/>
    <x:row r="45" ht="22" customHeight="1"/>
  </x:sheetData>
  <x:mergeCells>
    <x:mergeCell ref="A1:N1"/>
    <x:mergeCell ref="A12:N12"/>
    <x:mergeCell ref="A14:B16"/>
    <x:mergeCell ref="D14:E16"/>
    <x:mergeCell ref="G14:H16"/>
    <x:mergeCell ref="J14:K16"/>
    <x:mergeCell ref="M14:N16"/>
    <x:mergeCell ref="D20:E22"/>
    <x:mergeCell ref="G20:H22"/>
    <x:mergeCell ref="J20:K22"/>
    <x:mergeCell ref="A26:N26"/>
    <x:mergeCell ref="A2:N2"/>
  </x:mergeCells>
  <x:pageMargins left="0.7" right="0.7" top="0.75" bottom="0.75" header="0.3" footer="0.3"/>
  <x:drawing xmlns:r="http://schemas.openxmlformats.org/officeDocument/2006/relationships" r:id="Rf4909f2c8c804e20"/>
</x:worksheet>
</file>

<file path=xl/worksheets/sheet18.xml><?xml version="1.0" encoding="utf-8"?>
<x:worksheet xmlns:x="http://schemas.openxmlformats.org/spreadsheetml/2006/main">
  <x:sheetFormatPr defaultRowHeight="15"/>
  <x:cols>
    <x:col min="1" max="1" width="14" hidden="0" customWidth="1"/>
    <x:col min="2" max="2" width="18" hidden="0" customWidth="1"/>
    <x:col min="3" max="3" width="20" hidden="0" customWidth="1"/>
    <x:col min="4" max="4" width="25" hidden="0" customWidth="1"/>
    <x:col min="5" max="5" width="35" hidden="0" customWidth="1"/>
    <x:col min="6" max="6" width="24" hidden="0" customWidth="1"/>
    <x:col min="7" max="7" width="28" hidden="0" customWidth="1"/>
    <x:col min="8" max="8" width="28" hidden="0" customWidth="1"/>
    <x:col min="9" max="9" width="24" hidden="0" customWidth="1"/>
    <x:col min="10" max="10" width="24" hidden="0" customWidth="1"/>
    <x:col min="11" max="11" width="14" hidden="0" customWidth="1"/>
  </x:cols>
  <x:sheetData>
    <x:row r="1">
      <x:c r="A1" s="220" t="str">
        <x:v>PUP MANET DEVELOPMENT WORKFLOW USING CODEX + GITHUB + WORKBOOK</x:v>
      </x:c>
      <x:c r="B1" s="220"/>
      <x:c r="C1" s="220"/>
      <x:c r="D1" s="220"/>
      <x:c r="E1" s="220"/>
      <x:c r="F1" s="220"/>
      <x:c r="G1" s="220"/>
      <x:c r="H1" s="220"/>
      <x:c r="I1" s="220"/>
      <x:c r="J1" s="220"/>
      <x:c r="K1" s="220"/>
    </x:row>
    <x:row r="2">
      <x:c r="A2" s="207" t="str">
        <x:v>Purpose</x:v>
      </x:c>
      <x:c r="B2" s="43" t="str">
        <x:v>Use GitHub as the code source, Codex as the coding assistant/agent, and this workbook as the official step tracker. Every completed step must update this workbook before moving to the next step.</x:v>
      </x:c>
      <x:c r="C2" s="43" t="str"/>
      <x:c r="D2" s="43" t="str"/>
      <x:c r="E2" s="43" t="str"/>
      <x:c r="F2" s="43" t="str"/>
      <x:c r="G2" s="43" t="str"/>
      <x:c r="H2" s="43" t="str"/>
      <x:c r="I2" s="43" t="str"/>
      <x:c r="J2" s="43" t="str"/>
      <x:c r="K2" s="43" t="str"/>
    </x:row>
    <x:row r="3">
      <x:c r="A3" s="43"/>
      <x:c r="B3" s="43"/>
      <x:c r="C3" s="43"/>
      <x:c r="D3" s="43"/>
      <x:c r="E3" s="43"/>
      <x:c r="F3" s="43"/>
      <x:c r="G3" s="43"/>
      <x:c r="H3" s="43"/>
      <x:c r="I3" s="43"/>
      <x:c r="J3" s="43"/>
      <x:c r="K3" s="43"/>
    </x:row>
    <x:row r="4">
      <x:c r="A4" s="204" t="str">
        <x:v>Stage</x:v>
      </x:c>
      <x:c r="B4" s="204" t="str">
        <x:v>Owner</x:v>
      </x:c>
      <x:c r="C4" s="204" t="str">
        <x:v>Tool</x:v>
      </x:c>
      <x:c r="D4" s="204" t="str">
        <x:v>Input Required</x:v>
      </x:c>
      <x:c r="E4" s="204" t="str">
        <x:v>Action</x:v>
      </x:c>
      <x:c r="F4" s="204" t="str">
        <x:v>Output</x:v>
      </x:c>
      <x:c r="G4" s="204" t="str">
        <x:v>Pass/Fail Check</x:v>
      </x:c>
      <x:c r="H4" s="204" t="str">
        <x:v>Workbook Update Required</x:v>
      </x:c>
      <x:c r="I4" s="204" t="str">
        <x:v>GitHub Update Required</x:v>
      </x:c>
      <x:c r="J4" s="204" t="str">
        <x:v>Evidence to Record</x:v>
      </x:c>
      <x:c r="K4" s="204" t="str">
        <x:v>Status</x:v>
      </x:c>
    </x:row>
    <x:row r="5">
      <x:c r="A5" s="43" t="str">
        <x:v>0. Repository Setup</x:v>
      </x:c>
      <x:c r="B5" s="43" t="str">
        <x:v>User + ChatGPT</x:v>
      </x:c>
      <x:c r="C5" s="43" t="str">
        <x:v>GitHub, VS Code, Terminal</x:v>
      </x:c>
      <x:c r="D5" s="43" t="str">
        <x:v>GitHub account and local Mac with Codex installed</x:v>
      </x:c>
      <x:c r="E5" s="43" t="str">
        <x:v>Create repository and folder structure; add workbook, diagrams, README, AGENTS.md</x:v>
      </x:c>
      <x:c r="F5" s="43" t="str">
        <x:v>Clean repository baseline</x:v>
      </x:c>
      <x:c r="G5" s="43" t="str">
        <x:v>Repo opens locally; folders exist; workbook is in docs/workbook</x:v>
      </x:c>
      <x:c r="H5" s="43" t="str">
        <x:v>Progress Tracker, Config Tracker, Decision Log</x:v>
      </x:c>
      <x:c r="I5" s="43" t="str">
        <x:v>Initial commit and push to main</x:v>
      </x:c>
      <x:c r="J5" s="43" t="str">
        <x:v>Repo URL, commit hash</x:v>
      </x:c>
      <x:c r="K5" s="43" t="str">
        <x:v>Not Started</x:v>
      </x:c>
    </x:row>
    <x:row r="6">
      <x:c r="A6" s="43" t="str">
        <x:v>1. Codex Environment Setup</x:v>
      </x:c>
      <x:c r="B6" s="43" t="str">
        <x:v>User + Codex</x:v>
      </x:c>
      <x:c r="C6" s="43" t="str">
        <x:v>Codex Cloud or Codex CLI</x:v>
      </x:c>
      <x:c r="D6" s="43" t="str">
        <x:v>GitHub repo connected or local repo path</x:v>
      </x:c>
      <x:c r="E6" s="43" t="str">
        <x:v>Configure Codex access and test a small documentation task</x:v>
      </x:c>
      <x:c r="F6" s="43" t="str">
        <x:v>Codex can read repo and propose edits</x:v>
      </x:c>
      <x:c r="G6" s="43" t="str">
        <x:v>Codex task completes without touching unrelated files</x:v>
      </x:c>
      <x:c r="H6" s="43" t="str">
        <x:v>Config Tracker, Issue Log if errors</x:v>
      </x:c>
      <x:c r="I6" s="43" t="str">
        <x:v>Commit/PR for test task if applicable</x:v>
      </x:c>
      <x:c r="J6" s="43" t="str">
        <x:v>Codex task link or local terminal output</x:v>
      </x:c>
      <x:c r="K6" s="43" t="str">
        <x:v>Not Started</x:v>
      </x:c>
    </x:row>
    <x:row r="7">
      <x:c r="A7" s="43" t="str">
        <x:v>2. ESP32 Simulation Firmware</x:v>
      </x:c>
      <x:c r="B7" s="43" t="str">
        <x:v>Codex + User Review</x:v>
      </x:c>
      <x:c r="C7" s="43" t="str">
        <x:v>PlatformIO, VS Code</x:v>
      </x:c>
      <x:c r="D7" s="43" t="str">
        <x:v>Workbook Step ID and protocol notes</x:v>
      </x:c>
      <x:c r="E7" s="43" t="str">
        <x:v>Create ESP32 node simulation mode: node ID, message queue, route table mock, serial logs</x:v>
      </x:c>
      <x:c r="F7" s="43" t="str">
        <x:v>Buildable PlatformIO project</x:v>
      </x:c>
      <x:c r="G7" s="43" t="str">
        <x:v>platformio run succeeds; simulation logs show send/receive states</x:v>
      </x:c>
      <x:c r="H7" s="43" t="str">
        <x:v>Detailed Steps, Progress Tracker</x:v>
      </x:c>
      <x:c r="I7" s="43" t="str">
        <x:v>Branch/PR merged after test</x:v>
      </x:c>
      <x:c r="J7" s="43" t="str">
        <x:v>Build log screenshot or terminal copy</x:v>
      </x:c>
      <x:c r="K7" s="43" t="str">
        <x:v>Not Started</x:v>
      </x:c>
    </x:row>
    <x:row r="8">
      <x:c r="A8" s="43" t="str">
        <x:v>3. ESP32 LoRa Firmware</x:v>
      </x:c>
      <x:c r="B8" s="43" t="str">
        <x:v>Codex + User Review</x:v>
      </x:c>
      <x:c r="C8" s="43" t="str">
        <x:v>PlatformIO, ESP32 hardware</x:v>
      </x:c>
      <x:c r="D8" s="43" t="str">
        <x:v>SX1278 Ra-02 wiring and SPI pins</x:v>
      </x:c>
      <x:c r="E8" s="43" t="str">
        <x:v>Add LoRa packet send/receive, ACK/retry, duplicate filtering, RSSI/SNR logging</x:v>
      </x:c>
      <x:c r="F8" s="43" t="str">
        <x:v>Physical node firmware</x:v>
      </x:c>
      <x:c r="G8" s="43" t="str">
        <x:v>Two nodes exchange packets with ACK</x:v>
      </x:c>
      <x:c r="H8" s="43" t="str">
        <x:v>Detailed Steps, Config Tracker, Test Campaign</x:v>
      </x:c>
      <x:c r="I8" s="43" t="str">
        <x:v>Branch/PR merged after test</x:v>
      </x:c>
      <x:c r="J8" s="43" t="str">
        <x:v>Serial Monitor logs</x:v>
      </x:c>
      <x:c r="K8" s="43" t="str">
        <x:v>Not Started</x:v>
      </x:c>
    </x:row>
    <x:row r="9">
      <x:c r="A9" s="43" t="str">
        <x:v>4. Raspberry Pi Gateway Simulation</x:v>
      </x:c>
      <x:c r="B9" s="43" t="str">
        <x:v>Codex + User Review</x:v>
      </x:c>
      <x:c r="C9" s="43" t="str">
        <x:v>Python, Flask, SQLite</x:v>
      </x:c>
      <x:c r="D9" s="43" t="str">
        <x:v>Raspberry Pi or Mac simulation target</x:v>
      </x:c>
      <x:c r="E9" s="43" t="str">
        <x:v>Create gateway service, dashboard, store-and-forward queue, simulated MANET and router status</x:v>
      </x:c>
      <x:c r="F9" s="43" t="str">
        <x:v>Gateway sim app</x:v>
      </x:c>
      <x:c r="G9" s="43" t="str">
        <x:v>Runs locally; dashboard shows nodes, queues, failover status</x:v>
      </x:c>
      <x:c r="H9" s="43" t="str">
        <x:v>Detailed Steps, Progress Tracker</x:v>
      </x:c>
      <x:c r="I9" s="43" t="str">
        <x:v>Branch/PR merged after test</x:v>
      </x:c>
      <x:c r="J9" s="43" t="str">
        <x:v>Dashboard screenshot, logs</x:v>
      </x:c>
      <x:c r="K9" s="43" t="str">
        <x:v>Not Started</x:v>
      </x:c>
    </x:row>
    <x:row r="10">
      <x:c r="A10" s="43" t="str">
        <x:v>5. Raspberry Pi LoRa Gateway</x:v>
      </x:c>
      <x:c r="B10" s="43" t="str">
        <x:v>Codex + User Review</x:v>
      </x:c>
      <x:c r="C10" s="43" t="str">
        <x:v>Python, SPI LoRa library</x:v>
      </x:c>
      <x:c r="D10" s="43" t="str">
        <x:v>Raspberry Pi 3B + LoRa module wiring</x:v>
      </x:c>
      <x:c r="E10" s="43" t="str">
        <x:v>Connect gateway service to physical LoRa module via SPI</x:v>
      </x:c>
      <x:c r="F10" s="43" t="str">
        <x:v>Gateway receives/sends LoRa packets</x:v>
      </x:c>
      <x:c r="G10" s="43" t="str">
        <x:v>Gateway sees node heartbeats and messages</x:v>
      </x:c>
      <x:c r="H10" s="43" t="str">
        <x:v>Detailed Steps, Config Tracker</x:v>
      </x:c>
      <x:c r="I10" s="43" t="str">
        <x:v>Branch/PR merged after test</x:v>
      </x:c>
      <x:c r="J10" s="43" t="str">
        <x:v>Gateway logs</x:v>
      </x:c>
      <x:c r="K10" s="43" t="str">
        <x:v>Not Started</x:v>
      </x:c>
    </x:row>
    <x:row r="11">
      <x:c r="A11" s="43" t="str">
        <x:v>6. Gateway-to-Gateway WiFi Router Link</x:v>
      </x:c>
      <x:c r="B11" s="43" t="str">
        <x:v>Codex + User Review</x:v>
      </x:c>
      <x:c r="C11" s="43" t="str">
        <x:v>Python, Linux networking</x:v>
      </x:c>
      <x:c r="D11" s="43" t="str">
        <x:v>Two routers connected via WiFi bridge/repeater mode</x:v>
      </x:c>
      <x:c r="E11" s="43" t="str">
        <x:v>Implement gateway-to-gateway forwarding and simulated latency support</x:v>
      </x:c>
      <x:c r="F11" s="43" t="str">
        <x:v>Network A can forward to Network B</x:v>
      </x:c>
      <x:c r="G11" s="43" t="str">
        <x:v>Message crosses router link; latency can be simulated</x:v>
      </x:c>
      <x:c r="H11" s="43" t="str">
        <x:v>Detailed Steps, Simulation Plan</x:v>
      </x:c>
      <x:c r="I11" s="43" t="str">
        <x:v>Branch/PR merged after test</x:v>
      </x:c>
      <x:c r="J11" s="43" t="str">
        <x:v>Ping/log evidence</x:v>
      </x:c>
      <x:c r="K11" s="43" t="str">
        <x:v>Not Started</x:v>
      </x:c>
    </x:row>
    <x:row r="12">
      <x:c r="A12" s="43" t="str">
        <x:v>7. Failover and Recovery Logic</x:v>
      </x:c>
      <x:c r="B12" s="43" t="str">
        <x:v>Codex + User Review</x:v>
      </x:c>
      <x:c r="C12" s="43" t="str">
        <x:v>Python + ESP32 metrics</x:v>
      </x:c>
      <x:c r="D12" s="43" t="str">
        <x:v>RSSI/SNR/ACK timeout thresholds</x:v>
      </x:c>
      <x:c r="E12" s="43" t="str">
        <x:v>Implement RSSI &lt; -78 dBm for 10s failover and stable 10s recovery</x:v>
      </x:c>
      <x:c r="F12" s="43" t="str">
        <x:v>Test-aligned routing state machine</x:v>
      </x:c>
      <x:c r="G12" s="43" t="str">
        <x:v>Pass DOCX degradation/failover/recovery tests</x:v>
      </x:c>
      <x:c r="H12" s="43" t="str">
        <x:v>Test Campaign, Progress Tracker</x:v>
      </x:c>
      <x:c r="I12" s="43" t="str">
        <x:v>Branch/PR merged after test</x:v>
      </x:c>
      <x:c r="J12" s="43" t="str">
        <x:v>Test logs with timestamps</x:v>
      </x:c>
      <x:c r="K12" s="43" t="str">
        <x:v>Not Started</x:v>
      </x:c>
    </x:row>
    <x:row r="13">
      <x:c r="A13" s="43" t="str">
        <x:v>8. Android Messaging App</x:v>
      </x:c>
      <x:c r="B13" s="43" t="str">
        <x:v>Codex + User Review</x:v>
      </x:c>
      <x:c r="C13" s="43" t="str">
        <x:v>Android Studio, Kotlin</x:v>
      </x:c>
      <x:c r="D13" s="43" t="str">
        <x:v>Bluetooth pairing behavior and app UI requirements</x:v>
      </x:c>
      <x:c r="E13" s="43" t="str">
        <x:v>Create app with Auto/Manual network selection: LoRa via Bluetooth, WiFi, GSM option placeholders</x:v>
      </x:c>
      <x:c r="F13" s="43" t="str">
        <x:v>Android chat MVP</x:v>
      </x:c>
      <x:c r="G13" s="43" t="str">
        <x:v>App can pair to ESP32 and send test message</x:v>
      </x:c>
      <x:c r="H13" s="43" t="str">
        <x:v>Android App Plan, Detailed Steps</x:v>
      </x:c>
      <x:c r="I13" s="43" t="str">
        <x:v>Branch/PR merged after test</x:v>
      </x:c>
      <x:c r="J13" s="43" t="str">
        <x:v>APK/app screenshots</x:v>
      </x:c>
      <x:c r="K13" s="43" t="str">
        <x:v>Not Started</x:v>
      </x:c>
    </x:row>
    <x:row r="14">
      <x:c r="A14" s="43" t="str">
        <x:v>9. Full Simulation Test</x:v>
      </x:c>
      <x:c r="B14" s="43" t="str">
        <x:v>User + Codex Assist</x:v>
      </x:c>
      <x:c r="C14" s="43" t="str">
        <x:v>Mac/RPi simulation scripts</x:v>
      </x:c>
      <x:c r="D14" s="43" t="str">
        <x:v>6-node simulated topology</x:v>
      </x:c>
      <x:c r="E14" s="43" t="str">
        <x:v>Run complete baseline/degradation/failover/recovery simulation</x:v>
      </x:c>
      <x:c r="F14" s="43" t="str">
        <x:v>Simulation test report</x:v>
      </x:c>
      <x:c r="G14" s="43" t="str">
        <x:v>Meets acceptance criteria before hardware field test</x:v>
      </x:c>
      <x:c r="H14" s="43" t="str">
        <x:v>Test Campaign, Progress Tracker</x:v>
      </x:c>
      <x:c r="I14" s="43" t="str">
        <x:v>Commit test report to docs</x:v>
      </x:c>
      <x:c r="J14" s="43" t="str">
        <x:v>Logs, report file</x:v>
      </x:c>
      <x:c r="K14" s="43" t="str">
        <x:v>Not Started</x:v>
      </x:c>
    </x:row>
    <x:row r="15">
      <x:c r="A15" s="43" t="str">
        <x:v>10. Physical 6-Node Test</x:v>
      </x:c>
      <x:c r="B15" s="43" t="str">
        <x:v>User + ChatGPT/Codex Assist</x:v>
      </x:c>
      <x:c r="C15" s="43" t="str">
        <x:v>ESP32, RPi, routers, phones</x:v>
      </x:c>
      <x:c r="D15" s="43" t="str">
        <x:v>All hardware physically available</x:v>
      </x:c>
      <x:c r="E15" s="43" t="str">
        <x:v>Run DOCX test campaign and record evidence</x:v>
      </x:c>
      <x:c r="F15" s="43" t="str">
        <x:v>Validated prototype</x:v>
      </x:c>
      <x:c r="G15" s="43" t="str">
        <x:v>All required test procedures pass or issue logged</x:v>
      </x:c>
      <x:c r="H15" s="43" t="str">
        <x:v>Test Campaign, Issue Log, Decision Log</x:v>
      </x:c>
      <x:c r="I15" s="43" t="str">
        <x:v>Commit final test evidence</x:v>
      </x:c>
      <x:c r="J15" s="43" t="str">
        <x:v>Photos, logs, screenshots</x:v>
      </x:c>
      <x:c r="K15" s="43" t="str">
        <x:v>Not Started</x:v>
      </x:c>
    </x:row>
    <x:row r="16">
      <x:c r="A16" s="207" t="str">
        <x:v>Required Rule</x:v>
      </x:c>
      <x:c r="B16" s="195" t="str">
        <x:v>Description</x:v>
      </x:c>
      <x:c r="C16" s="195" t="str"/>
      <x:c r="D16" s="195" t="str"/>
      <x:c r="E16" s="195" t="str"/>
      <x:c r="F16" s="195" t="str"/>
      <x:c r="G16" s="195" t="str"/>
      <x:c r="H16" s="195" t="str"/>
      <x:c r="I16" s="195" t="str"/>
      <x:c r="J16" s="195" t="str"/>
      <x:c r="K16" s="195" t="str"/>
    </x:row>
    <x:row r="17">
      <x:c r="A17" s="197" t="str">
        <x:v>One step at a time</x:v>
      </x:c>
      <x:c r="B17" s="43" t="str">
        <x:v>Do not ask Codex to build all components in one task. Each Codex task must match one workbook step or sub-step.</x:v>
      </x:c>
      <x:c r="C17" s="43" t="str"/>
      <x:c r="D17" s="43" t="str"/>
      <x:c r="E17" s="43" t="str"/>
      <x:c r="F17" s="43" t="str"/>
      <x:c r="G17" s="43" t="str"/>
      <x:c r="H17" s="43" t="str"/>
      <x:c r="I17" s="43" t="str"/>
      <x:c r="J17" s="43" t="str"/>
      <x:c r="K17" s="43" t="str"/>
    </x:row>
    <x:row r="18">
      <x:c r="A18" s="197" t="str">
        <x:v>Workbook-first tracking</x:v>
      </x:c>
      <x:c r="B18" s="43" t="str">
        <x:v>After any successful test, update this workbook before starting the next task.</x:v>
      </x:c>
      <x:c r="C18" s="43" t="str"/>
      <x:c r="D18" s="43" t="str"/>
      <x:c r="E18" s="43" t="str"/>
      <x:c r="F18" s="43" t="str"/>
      <x:c r="G18" s="43" t="str"/>
      <x:c r="H18" s="43" t="str"/>
      <x:c r="I18" s="43" t="str"/>
      <x:c r="J18" s="43" t="str"/>
      <x:c r="K18" s="43" t="str"/>
    </x:row>
    <x:row r="19">
      <x:c r="A19" s="197" t="str">
        <x:v>No uncontrolled rewrites</x:v>
      </x:c>
      <x:c r="B19" s="43" t="str">
        <x:v>Codex must modify only the intended folder and must preserve existing working features unless the workbook step explicitly says otherwise.</x:v>
      </x:c>
      <x:c r="C19" s="43" t="str"/>
      <x:c r="D19" s="43" t="str"/>
      <x:c r="E19" s="43" t="str"/>
      <x:c r="F19" s="43" t="str"/>
      <x:c r="G19" s="43" t="str"/>
      <x:c r="H19" s="43" t="str"/>
      <x:c r="I19" s="43" t="str"/>
      <x:c r="J19" s="43" t="str"/>
      <x:c r="K19" s="43" t="str"/>
    </x:row>
    <x:row r="20">
      <x:c r="A20" s="197" t="str">
        <x:v>Test procedures control design</x:v>
      </x:c>
      <x:c r="B20" s="43" t="str">
        <x:v>All development decisions must support the DOCX acceptance tests: baseline, degradation, failover, sustained operation, and recovery.</x:v>
      </x:c>
      <x:c r="C20" s="43" t="str"/>
      <x:c r="D20" s="43" t="str"/>
      <x:c r="E20" s="43" t="str"/>
      <x:c r="F20" s="43" t="str"/>
      <x:c r="G20" s="43" t="str"/>
      <x:c r="H20" s="43" t="str"/>
      <x:c r="I20" s="43" t="str"/>
      <x:c r="J20" s="43" t="str"/>
      <x:c r="K20" s="43" t="str"/>
    </x:row>
    <x:row r="21">
      <x:c r="A21" s="197" t="str">
        <x:v>Simulation before hardware</x:v>
      </x:c>
      <x:c r="B21" s="43" t="str">
        <x:v>Build simulation mode first even though hardware is available, then move to physical LoRa/RPi/Android testing.</x:v>
      </x:c>
      <x:c r="C21" s="43" t="str"/>
      <x:c r="D21" s="43" t="str"/>
      <x:c r="E21" s="43" t="str"/>
      <x:c r="F21" s="43" t="str"/>
      <x:c r="G21" s="43" t="str"/>
      <x:c r="H21" s="43" t="str"/>
      <x:c r="I21" s="43" t="str"/>
      <x:c r="J21" s="43" t="str"/>
      <x:c r="K21" s="43" t="str"/>
    </x:row>
    <x:row r="22">
      <x:c r="A22" s="197" t="str">
        <x:v>Record evidence</x:v>
      </x:c>
      <x:c r="B22" s="43" t="str">
        <x:v>Every completed step needs evidence: commit hash, PR link, build log, screenshot, serial log, or test report.</x:v>
      </x:c>
      <x:c r="C22" s="43" t="str"/>
      <x:c r="D22" s="43" t="str"/>
      <x:c r="E22" s="43" t="str"/>
      <x:c r="F22" s="43" t="str"/>
      <x:c r="G22" s="43" t="str"/>
      <x:c r="H22" s="43" t="str"/>
      <x:c r="I22" s="43" t="str"/>
      <x:c r="J22" s="43" t="str"/>
      <x:c r="K22" s="43" t="str"/>
    </x:row>
    <x:row r="23">
      <x:c r="A23" s="197" t="str">
        <x:v>Mac Codex usage</x:v>
      </x:c>
      <x:c r="B23" s="43" t="str">
        <x:v>Since Codex is installed on the MacBook Pro M1 Max, local Codex CLI can be used for repo edits, reviews, and smaller tasks; Codex Cloud/GitHub can be used for PR-based work.</x:v>
      </x:c>
      <x:c r="C23" s="43" t="str"/>
      <x:c r="D23" s="43" t="str"/>
      <x:c r="E23" s="43" t="str"/>
      <x:c r="F23" s="43" t="str"/>
      <x:c r="G23" s="43" t="str"/>
      <x:c r="H23" s="43" t="str"/>
      <x:c r="I23" s="43" t="str"/>
      <x:c r="J23" s="43" t="str"/>
      <x:c r="K23" s="43" t="str"/>
    </x:row>
    <x:row r="24">
      <x:c r="A24" s="43"/>
      <x:c r="B24" s="43"/>
      <x:c r="C24" s="43"/>
      <x:c r="D24" s="43"/>
      <x:c r="E24" s="43"/>
      <x:c r="F24" s="43"/>
      <x:c r="G24" s="43"/>
      <x:c r="H24" s="43"/>
      <x:c r="I24" s="43"/>
      <x:c r="J24" s="43"/>
      <x:c r="K24" s="43"/>
    </x:row>
    <x:row r="25">
      <x:c r="A25" s="43"/>
      <x:c r="B25" s="43"/>
      <x:c r="C25" s="43"/>
      <x:c r="D25" s="43"/>
      <x:c r="E25" s="43"/>
      <x:c r="F25" s="43"/>
      <x:c r="G25" s="43"/>
      <x:c r="H25" s="43"/>
      <x:c r="I25" s="43"/>
      <x:c r="J25" s="43"/>
      <x:c r="K25" s="43"/>
    </x:row>
    <x:row r="26">
      <x:c r="A26" s="43"/>
      <x:c r="B26" s="43"/>
      <x:c r="C26" s="43"/>
      <x:c r="D26" s="43"/>
      <x:c r="E26" s="43"/>
      <x:c r="F26" s="43"/>
      <x:c r="G26" s="43"/>
      <x:c r="H26" s="43"/>
      <x:c r="I26" s="43"/>
      <x:c r="J26" s="43"/>
      <x:c r="K26" s="43"/>
    </x:row>
    <x:row r="27">
      <x:c r="A27" s="43"/>
      <x:c r="B27" s="43"/>
      <x:c r="C27" s="43"/>
      <x:c r="D27" s="43"/>
      <x:c r="E27" s="43"/>
      <x:c r="F27" s="43"/>
      <x:c r="G27" s="43"/>
      <x:c r="H27" s="43"/>
      <x:c r="I27" s="43"/>
      <x:c r="J27" s="43"/>
      <x:c r="K27" s="43"/>
    </x:row>
    <x:row r="28">
      <x:c r="A28" s="43"/>
      <x:c r="B28" s="43"/>
      <x:c r="C28" s="43"/>
      <x:c r="D28" s="43"/>
      <x:c r="E28" s="43"/>
      <x:c r="F28" s="43"/>
      <x:c r="G28" s="43"/>
      <x:c r="H28" s="43"/>
      <x:c r="I28" s="43"/>
      <x:c r="J28" s="43"/>
      <x:c r="K28" s="43"/>
    </x:row>
    <x:row r="29">
      <x:c r="A29" s="43"/>
      <x:c r="B29" s="43"/>
      <x:c r="C29" s="43"/>
      <x:c r="D29" s="43"/>
      <x:c r="E29" s="43"/>
      <x:c r="F29" s="43"/>
      <x:c r="G29" s="43"/>
      <x:c r="H29" s="43"/>
      <x:c r="I29" s="43"/>
      <x:c r="J29" s="43"/>
      <x:c r="K29" s="43"/>
    </x:row>
    <x:row r="30">
      <x:c r="A30" s="43"/>
      <x:c r="B30" s="43"/>
      <x:c r="C30" s="43"/>
      <x:c r="D30" s="43"/>
      <x:c r="E30" s="43"/>
      <x:c r="F30" s="43"/>
      <x:c r="G30" s="43"/>
      <x:c r="H30" s="43"/>
      <x:c r="I30" s="43"/>
      <x:c r="J30" s="43"/>
      <x:c r="K30" s="43"/>
    </x:row>
    <x:row r="31">
      <x:c r="A31" s="43"/>
      <x:c r="B31" s="43"/>
      <x:c r="C31" s="43"/>
      <x:c r="D31" s="43"/>
      <x:c r="E31" s="43"/>
      <x:c r="F31" s="43"/>
      <x:c r="G31" s="43"/>
      <x:c r="H31" s="43"/>
      <x:c r="I31" s="43"/>
      <x:c r="J31" s="43"/>
      <x:c r="K31" s="43"/>
    </x:row>
    <x:row r="32">
      <x:c r="A32" s="43"/>
      <x:c r="B32" s="43"/>
      <x:c r="C32" s="43"/>
      <x:c r="D32" s="43"/>
      <x:c r="E32" s="43"/>
      <x:c r="F32" s="43"/>
      <x:c r="G32" s="43"/>
      <x:c r="H32" s="43"/>
      <x:c r="I32" s="43"/>
      <x:c r="J32" s="43"/>
      <x:c r="K32" s="43"/>
    </x:row>
    <x:row r="33">
      <x:c r="A33" s="43"/>
      <x:c r="B33" s="43"/>
      <x:c r="C33" s="43"/>
      <x:c r="D33" s="43"/>
      <x:c r="E33" s="43"/>
      <x:c r="F33" s="43"/>
      <x:c r="G33" s="43"/>
      <x:c r="H33" s="43"/>
      <x:c r="I33" s="43"/>
      <x:c r="J33" s="43"/>
      <x:c r="K33" s="43"/>
    </x:row>
    <x:row r="34">
      <x:c r="A34" s="43"/>
      <x:c r="B34" s="43"/>
      <x:c r="C34" s="43"/>
      <x:c r="D34" s="43"/>
      <x:c r="E34" s="43"/>
      <x:c r="F34" s="43"/>
      <x:c r="G34" s="43"/>
      <x:c r="H34" s="43"/>
      <x:c r="I34" s="43"/>
      <x:c r="J34" s="43"/>
      <x:c r="K34" s="43"/>
    </x:row>
    <x:row r="35">
      <x:c r="A35" s="43"/>
      <x:c r="B35" s="43"/>
      <x:c r="C35" s="43"/>
      <x:c r="D35" s="43"/>
      <x:c r="E35" s="43"/>
      <x:c r="F35" s="43"/>
      <x:c r="G35" s="43"/>
      <x:c r="H35" s="43"/>
      <x:c r="I35" s="43"/>
      <x:c r="J35" s="43"/>
      <x:c r="K35" s="43"/>
    </x:row>
    <x:row r="36">
      <x:c r="A36" s="43"/>
      <x:c r="B36" s="43"/>
      <x:c r="C36" s="43"/>
      <x:c r="D36" s="43"/>
      <x:c r="E36" s="43"/>
      <x:c r="F36" s="43"/>
      <x:c r="G36" s="43"/>
      <x:c r="H36" s="43"/>
      <x:c r="I36" s="43"/>
      <x:c r="J36" s="43"/>
      <x:c r="K36" s="43"/>
    </x:row>
    <x:row r="37">
      <x:c r="A37" s="43"/>
      <x:c r="B37" s="43"/>
      <x:c r="C37" s="43"/>
      <x:c r="D37" s="43"/>
      <x:c r="E37" s="43"/>
      <x:c r="F37" s="43"/>
      <x:c r="G37" s="43"/>
      <x:c r="H37" s="43"/>
      <x:c r="I37" s="43"/>
      <x:c r="J37" s="43"/>
      <x:c r="K37" s="43"/>
    </x:row>
    <x:row r="38">
      <x:c r="A38" s="43"/>
      <x:c r="B38" s="43"/>
      <x:c r="C38" s="43"/>
      <x:c r="D38" s="43"/>
      <x:c r="E38" s="43"/>
      <x:c r="F38" s="43"/>
      <x:c r="G38" s="43"/>
      <x:c r="H38" s="43"/>
      <x:c r="I38" s="43"/>
      <x:c r="J38" s="43"/>
      <x:c r="K38" s="43"/>
    </x:row>
    <x:row r="39">
      <x:c r="A39" s="43"/>
      <x:c r="B39" s="43"/>
      <x:c r="C39" s="43"/>
      <x:c r="D39" s="43"/>
      <x:c r="E39" s="43"/>
      <x:c r="F39" s="43"/>
      <x:c r="G39" s="43"/>
      <x:c r="H39" s="43"/>
      <x:c r="I39" s="43"/>
      <x:c r="J39" s="43"/>
      <x:c r="K39" s="43"/>
    </x:row>
    <x:row r="40">
      <x:c r="A40" s="43"/>
      <x:c r="B40" s="43"/>
      <x:c r="C40" s="43"/>
      <x:c r="D40" s="43"/>
      <x:c r="E40" s="43"/>
      <x:c r="F40" s="43"/>
      <x:c r="G40" s="43"/>
      <x:c r="H40" s="43"/>
      <x:c r="I40" s="43"/>
      <x:c r="J40" s="43"/>
      <x:c r="K40" s="43"/>
    </x:row>
    <x:row r="41">
      <x:c r="A41" s="43"/>
      <x:c r="B41" s="43"/>
      <x:c r="C41" s="43"/>
      <x:c r="D41" s="43"/>
      <x:c r="E41" s="43"/>
      <x:c r="F41" s="43"/>
      <x:c r="G41" s="43"/>
      <x:c r="H41" s="43"/>
      <x:c r="I41" s="43"/>
      <x:c r="J41" s="43"/>
      <x:c r="K41" s="43"/>
    </x:row>
    <x:row r="42">
      <x:c r="A42" s="43"/>
      <x:c r="B42" s="43"/>
      <x:c r="C42" s="43"/>
      <x:c r="D42" s="43"/>
      <x:c r="E42" s="43"/>
      <x:c r="F42" s="43"/>
      <x:c r="G42" s="43"/>
      <x:c r="H42" s="43"/>
      <x:c r="I42" s="43"/>
      <x:c r="J42" s="43"/>
      <x:c r="K42" s="43"/>
    </x:row>
    <x:row r="43">
      <x:c r="A43" s="43"/>
      <x:c r="B43" s="43"/>
      <x:c r="C43" s="43"/>
      <x:c r="D43" s="43"/>
      <x:c r="E43" s="43"/>
      <x:c r="F43" s="43"/>
      <x:c r="G43" s="43"/>
      <x:c r="H43" s="43"/>
      <x:c r="I43" s="43"/>
      <x:c r="J43" s="43"/>
      <x:c r="K43" s="43"/>
    </x:row>
    <x:row r="44">
      <x:c r="A44" s="43"/>
      <x:c r="B44" s="43"/>
      <x:c r="C44" s="43"/>
      <x:c r="D44" s="43"/>
      <x:c r="E44" s="43"/>
      <x:c r="F44" s="43"/>
      <x:c r="G44" s="43"/>
      <x:c r="H44" s="43"/>
      <x:c r="I44" s="43"/>
      <x:c r="J44" s="43"/>
      <x:c r="K44" s="43"/>
    </x:row>
    <x:row r="45">
      <x:c r="A45" s="43"/>
      <x:c r="B45" s="43"/>
      <x:c r="C45" s="43"/>
      <x:c r="D45" s="43"/>
      <x:c r="E45" s="43"/>
      <x:c r="F45" s="43"/>
      <x:c r="G45" s="43"/>
      <x:c r="H45" s="43"/>
      <x:c r="I45" s="43"/>
      <x:c r="J45" s="43"/>
      <x:c r="K45" s="43"/>
    </x:row>
    <x:row r="46">
      <x:c r="A46" s="43"/>
      <x:c r="B46" s="43"/>
      <x:c r="C46" s="43"/>
      <x:c r="D46" s="43"/>
      <x:c r="E46" s="43"/>
      <x:c r="F46" s="43"/>
      <x:c r="G46" s="43"/>
      <x:c r="H46" s="43"/>
      <x:c r="I46" s="43"/>
      <x:c r="J46" s="43"/>
      <x:c r="K46" s="43"/>
    </x:row>
    <x:row r="47">
      <x:c r="A47" s="43"/>
      <x:c r="B47" s="43"/>
      <x:c r="C47" s="43"/>
      <x:c r="D47" s="43"/>
      <x:c r="E47" s="43"/>
      <x:c r="F47" s="43"/>
      <x:c r="G47" s="43"/>
      <x:c r="H47" s="43"/>
      <x:c r="I47" s="43"/>
      <x:c r="J47" s="43"/>
      <x:c r="K47" s="43"/>
    </x:row>
    <x:row r="48">
      <x:c r="A48" s="43"/>
      <x:c r="B48" s="43"/>
      <x:c r="C48" s="43"/>
      <x:c r="D48" s="43"/>
      <x:c r="E48" s="43"/>
      <x:c r="F48" s="43"/>
      <x:c r="G48" s="43"/>
      <x:c r="H48" s="43"/>
      <x:c r="I48" s="43"/>
      <x:c r="J48" s="43"/>
      <x:c r="K48" s="43"/>
    </x:row>
    <x:row r="49">
      <x:c r="A49" s="43"/>
      <x:c r="B49" s="43"/>
      <x:c r="C49" s="43"/>
      <x:c r="D49" s="43"/>
      <x:c r="E49" s="43"/>
      <x:c r="F49" s="43"/>
      <x:c r="G49" s="43"/>
      <x:c r="H49" s="43"/>
      <x:c r="I49" s="43"/>
      <x:c r="J49" s="43"/>
      <x:c r="K49" s="43"/>
    </x:row>
    <x:row r="50">
      <x:c r="A50" s="43"/>
      <x:c r="B50" s="43"/>
      <x:c r="C50" s="43"/>
      <x:c r="D50" s="43"/>
      <x:c r="E50" s="43"/>
      <x:c r="F50" s="43"/>
      <x:c r="G50" s="43"/>
      <x:c r="H50" s="43"/>
      <x:c r="I50" s="43"/>
      <x:c r="J50" s="43"/>
      <x:c r="K50" s="43"/>
    </x:row>
    <x:row r="51">
      <x:c r="A51" s="43"/>
      <x:c r="B51" s="43"/>
      <x:c r="C51" s="43"/>
      <x:c r="D51" s="43"/>
      <x:c r="E51" s="43"/>
      <x:c r="F51" s="43"/>
      <x:c r="G51" s="43"/>
      <x:c r="H51" s="43"/>
      <x:c r="I51" s="43"/>
      <x:c r="J51" s="43"/>
      <x:c r="K51" s="43"/>
    </x:row>
    <x:row r="52">
      <x:c r="A52" s="43"/>
      <x:c r="B52" s="43"/>
      <x:c r="C52" s="43"/>
      <x:c r="D52" s="43"/>
      <x:c r="E52" s="43"/>
      <x:c r="F52" s="43"/>
      <x:c r="G52" s="43"/>
      <x:c r="H52" s="43"/>
      <x:c r="I52" s="43"/>
      <x:c r="J52" s="43"/>
      <x:c r="K52" s="43"/>
    </x:row>
    <x:row r="53">
      <x:c r="A53" s="43"/>
      <x:c r="B53" s="43"/>
      <x:c r="C53" s="43"/>
      <x:c r="D53" s="43"/>
      <x:c r="E53" s="43"/>
      <x:c r="F53" s="43"/>
      <x:c r="G53" s="43"/>
      <x:c r="H53" s="43"/>
      <x:c r="I53" s="43"/>
      <x:c r="J53" s="43"/>
      <x:c r="K53" s="43"/>
    </x:row>
    <x:row r="54">
      <x:c r="A54" s="43"/>
      <x:c r="B54" s="43"/>
      <x:c r="C54" s="43"/>
      <x:c r="D54" s="43"/>
      <x:c r="E54" s="43"/>
      <x:c r="F54" s="43"/>
      <x:c r="G54" s="43"/>
      <x:c r="H54" s="43"/>
      <x:c r="I54" s="43"/>
      <x:c r="J54" s="43"/>
      <x:c r="K54" s="43"/>
    </x:row>
    <x:row r="55">
      <x:c r="A55" s="43"/>
      <x:c r="B55" s="43"/>
      <x:c r="C55" s="43"/>
      <x:c r="D55" s="43"/>
      <x:c r="E55" s="43"/>
      <x:c r="F55" s="43"/>
      <x:c r="G55" s="43"/>
      <x:c r="H55" s="43"/>
      <x:c r="I55" s="43"/>
      <x:c r="J55" s="43"/>
      <x:c r="K55" s="43"/>
    </x:row>
    <x:row r="56">
      <x:c r="A56" s="43"/>
      <x:c r="B56" s="43"/>
      <x:c r="C56" s="43"/>
      <x:c r="D56" s="43"/>
      <x:c r="E56" s="43"/>
      <x:c r="F56" s="43"/>
      <x:c r="G56" s="43"/>
      <x:c r="H56" s="43"/>
      <x:c r="I56" s="43"/>
      <x:c r="J56" s="43"/>
      <x:c r="K56" s="43"/>
    </x:row>
    <x:row r="57">
      <x:c r="A57" s="43"/>
      <x:c r="B57" s="43"/>
      <x:c r="C57" s="43"/>
      <x:c r="D57" s="43"/>
      <x:c r="E57" s="43"/>
      <x:c r="F57" s="43"/>
      <x:c r="G57" s="43"/>
      <x:c r="H57" s="43"/>
      <x:c r="I57" s="43"/>
      <x:c r="J57" s="43"/>
      <x:c r="K57" s="43"/>
    </x:row>
    <x:row r="58">
      <x:c r="A58" s="43"/>
      <x:c r="B58" s="43"/>
      <x:c r="C58" s="43"/>
      <x:c r="D58" s="43"/>
      <x:c r="E58" s="43"/>
      <x:c r="F58" s="43"/>
      <x:c r="G58" s="43"/>
      <x:c r="H58" s="43"/>
      <x:c r="I58" s="43"/>
      <x:c r="J58" s="43"/>
      <x:c r="K58" s="43"/>
    </x:row>
    <x:row r="59">
      <x:c r="A59" s="43"/>
      <x:c r="B59" s="43"/>
      <x:c r="C59" s="43"/>
      <x:c r="D59" s="43"/>
      <x:c r="E59" s="43"/>
      <x:c r="F59" s="43"/>
      <x:c r="G59" s="43"/>
      <x:c r="H59" s="43"/>
      <x:c r="I59" s="43"/>
      <x:c r="J59" s="43"/>
      <x:c r="K59" s="43"/>
    </x:row>
    <x:row r="60">
      <x:c r="A60" s="43"/>
      <x:c r="B60" s="43"/>
      <x:c r="C60" s="43"/>
      <x:c r="D60" s="43"/>
      <x:c r="E60" s="43"/>
      <x:c r="F60" s="43"/>
      <x:c r="G60" s="43"/>
      <x:c r="H60" s="43"/>
      <x:c r="I60" s="43"/>
      <x:c r="J60" s="43"/>
      <x:c r="K60" s="43"/>
    </x:row>
  </x:sheetData>
  <x:mergeCells>
    <x:mergeCell ref="A1:K1"/>
    <x:mergeCell ref="B2:K2"/>
    <x:mergeCell ref="B16:K16"/>
  </x:mergeCells>
  <x:dataValidations count="1">
    <x:dataValidation type="list" sqref="K5:K14">
      <x:formula1>"Not Started,In Progress,Blocked,Completed,Skipped,Planned,Available"</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60" hidden="0" customWidth="1"/>
    <x:col min="5" max="5" width="25" hidden="0" customWidth="1"/>
    <x:col min="6" max="6" width="28" hidden="0" customWidth="1"/>
    <x:col min="7" max="7" width="35" hidden="0" customWidth="1"/>
    <x:col min="8" max="8" width="24" hidden="0" customWidth="1"/>
    <x:col min="9" max="9" width="14" hidden="0" customWidth="1"/>
  </x:cols>
  <x:sheetData>
    <x:row r="1">
      <x:c r="A1" s="220" t="str">
        <x:v>CODEX TASK PROMPTS — USE ONE TASK PER WORKBOOK STEP</x:v>
      </x:c>
      <x:c r="B1" s="220"/>
      <x:c r="C1" s="220"/>
      <x:c r="D1" s="220"/>
      <x:c r="E1" s="220"/>
      <x:c r="F1" s="220"/>
      <x:c r="G1" s="220"/>
      <x:c r="H1" s="220"/>
      <x:c r="I1" s="220"/>
      <x:c r="J1" s="43"/>
      <x:c r="K1" s="43"/>
    </x:row>
    <x:row r="2">
      <x:c r="A2" s="43"/>
      <x:c r="B2" s="43"/>
      <x:c r="C2" s="43"/>
      <x:c r="D2" s="43"/>
      <x:c r="E2" s="43"/>
      <x:c r="F2" s="43"/>
      <x:c r="G2" s="43"/>
      <x:c r="H2" s="43"/>
      <x:c r="I2" s="43"/>
      <x:c r="J2" s="43"/>
      <x:c r="K2" s="43"/>
    </x:row>
    <x:row r="3">
      <x:c r="A3" s="204" t="str">
        <x:v>Task ID</x:v>
      </x:c>
      <x:c r="B3" s="204" t="str">
        <x:v>Workbook Step</x:v>
      </x:c>
      <x:c r="C3" s="204" t="str">
        <x:v>Where to Run</x:v>
      </x:c>
      <x:c r="D3" s="204" t="str">
        <x:v>Prompt to Give Codex</x:v>
      </x:c>
      <x:c r="E3" s="204" t="str">
        <x:v>Expected Files Changed</x:v>
      </x:c>
      <x:c r="F3" s="204" t="str">
        <x:v>Commands Codex Should Run</x:v>
      </x:c>
      <x:c r="G3" s="204" t="str">
        <x:v>Review Checklist</x:v>
      </x:c>
      <x:c r="H3" s="204" t="str">
        <x:v>Evidence to Save</x:v>
      </x:c>
      <x:c r="I3" s="204" t="str">
        <x:v>Status</x:v>
      </x:c>
      <x:c r="J3" s="43"/>
      <x:c r="K3" s="43"/>
    </x:row>
    <x:row r="4">
      <x:c r="A4" s="43" t="str">
        <x:v>C0</x:v>
      </x:c>
      <x:c r="B4" s="43" t="str">
        <x:v>Repo Setup</x:v>
      </x:c>
      <x:c r="C4" s="43" t="str">
        <x:v>Codex CLI or manual GitHub setup</x:v>
      </x:c>
      <x:c r="D4" s="43" t="str">
        <x:v>Create/verify the initial repository structure for PUP MANET. Add README.md, AGENTS.md, docs/workbook, docs/diagrams, docs/test-procedures, docs/codex-prompts, esp32-node-platformio, rpi-gateway, and android-chat-app. Do not create application code yet. Follow the workbook Codex GitHub Workflow sheet.</x:v>
      </x:c>
      <x:c r="E4" s="43" t="str">
        <x:v>README.md, AGENTS.md, folders, docs placeholders</x:v>
      </x:c>
      <x:c r="F4" s="43" t="str">
        <x:v>git status; tree -L 3</x:v>
      </x:c>
      <x:c r="G4" s="43" t="str">
        <x:v>Folders match workbook; no generated binaries committed; workbook copied into docs/workbook</x:v>
      </x:c>
      <x:c r="H4" s="43" t="str">
        <x:v>Commit hash, repo URL</x:v>
      </x:c>
      <x:c r="I4" s="43" t="str">
        <x:v>Not Started</x:v>
      </x:c>
      <x:c r="J4" s="43"/>
      <x:c r="K4" s="43"/>
    </x:row>
    <x:row r="5">
      <x:c r="A5" s="43" t="str">
        <x:v>C1</x:v>
      </x:c>
      <x:c r="B5" s="43" t="str">
        <x:v>ESP32 Simulation Firmware</x:v>
      </x:c>
      <x:c r="C5" s="43" t="str">
        <x:v>Codex Cloud or CLI in repo</x:v>
      </x:c>
      <x:c r="D5" s="43" t="str">
        <x:v>Implement the first ESP32 PlatformIO simulation project for one MANET node. Follow workbook step for ESP32 simulation only. Include node ID config, mock message queue, mock neighbor table, serial logs, and README instructions. Do not add LoRa hardware code yet.</x:v>
      </x:c>
      <x:c r="E5" s="43" t="str">
        <x:v>esp32-node-platformio/*</x:v>
      </x:c>
      <x:c r="F5" s="43" t="str">
        <x:v>pio run</x:v>
      </x:c>
      <x:c r="G5" s="43" t="str">
        <x:v>Build succeeds; code is isolated in ESP32 folder; README has upload/build instructions</x:v>
      </x:c>
      <x:c r="H5" s="43" t="str">
        <x:v>PlatformIO build log</x:v>
      </x:c>
      <x:c r="I5" s="43" t="str">
        <x:v>Not Started</x:v>
      </x:c>
      <x:c r="J5" s="43"/>
      <x:c r="K5" s="43"/>
    </x:row>
    <x:row r="6">
      <x:c r="A6" s="43" t="str">
        <x:v>C2</x:v>
      </x:c>
      <x:c r="B6" s="43" t="str">
        <x:v>ESP32 LoRa Firmware</x:v>
      </x:c>
      <x:c r="C6" s="43" t="str">
        <x:v>Codex Cloud or CLI in repo</x:v>
      </x:c>
      <x:c r="D6" s="43" t="str">
        <x:v>Add SX1278 Ra-02 LoRa support to the ESP32 project using the agreed packet format. Implement send/receive, ACK/retry, duplicate filtering, RSSI/SNR logging, and a compile-time simulation mode switch. Preserve the simulation mode.</x:v>
      </x:c>
      <x:c r="E6" s="43" t="str">
        <x:v>esp32-node-platformio/*</x:v>
      </x:c>
      <x:c r="F6" s="43" t="str">
        <x:v>pio run</x:v>
      </x:c>
      <x:c r="G6" s="43" t="str">
        <x:v>Build succeeds; simulation mode still works; LoRa pins documented</x:v>
      </x:c>
      <x:c r="H6" s="43" t="str">
        <x:v>Serial logs from 2 nodes</x:v>
      </x:c>
      <x:c r="I6" s="43" t="str">
        <x:v>Not Started</x:v>
      </x:c>
      <x:c r="J6" s="43"/>
      <x:c r="K6" s="43"/>
    </x:row>
    <x:row r="7">
      <x:c r="A7" s="43" t="str">
        <x:v>C3</x:v>
      </x:c>
      <x:c r="B7" s="43" t="str">
        <x:v>Raspberry Pi Gateway Simulation</x:v>
      </x:c>
      <x:c r="C7" s="43" t="str">
        <x:v>Codex Cloud or CLI in repo</x:v>
      </x:c>
      <x:c r="D7" s="43" t="str">
        <x:v>Create the Raspberry Pi gateway simulation service in Python. Include Flask dashboard, SQLite message store, store-and-forward queue, simulated nodes, simulated gateway-to-gateway link, and logs. Do not require physical LoRa hardware yet.</x:v>
      </x:c>
      <x:c r="E7" s="43" t="str">
        <x:v>rpi-gateway/*</x:v>
      </x:c>
      <x:c r="F7" s="43" t="str">
        <x:v>python -m pytest if tests exist; python app.py --simulate</x:v>
      </x:c>
      <x:c r="G7" s="43" t="str">
        <x:v>Service starts; dashboard loads; simulated messages can be routed</x:v>
      </x:c>
      <x:c r="H7" s="43" t="str">
        <x:v>Dashboard screenshot/logs</x:v>
      </x:c>
      <x:c r="I7" s="43" t="str">
        <x:v>Not Started</x:v>
      </x:c>
      <x:c r="J7" s="43"/>
      <x:c r="K7" s="43"/>
    </x:row>
    <x:row r="8">
      <x:c r="A8" s="43" t="str">
        <x:v>C4</x:v>
      </x:c>
      <x:c r="B8" s="43" t="str">
        <x:v>Gateway LoRa SPI Integration</x:v>
      </x:c>
      <x:c r="C8" s="43" t="str">
        <x:v>Codex Cloud or CLI in repo</x:v>
      </x:c>
      <x:c r="D8" s="43" t="str">
        <x:v>Add Raspberry Pi SPI LoRa module integration behind a hardware abstraction layer. Keep simulation mode available. Document wiring and setup commands for Raspberry Pi 3B.</x:v>
      </x:c>
      <x:c r="E8" s="43" t="str">
        <x:v>rpi-gateway/* docs/*</x:v>
      </x:c>
      <x:c r="F8" s="43" t="str">
        <x:v>python app.py --simulate; hardware run on RPi later</x:v>
      </x:c>
      <x:c r="G8" s="43" t="str">
        <x:v>Simulation unaffected; hardware module isolated; setup docs updated</x:v>
      </x:c>
      <x:c r="H8" s="43" t="str">
        <x:v>RPi logs once tested</x:v>
      </x:c>
      <x:c r="I8" s="43" t="str">
        <x:v>Not Started</x:v>
      </x:c>
      <x:c r="J8" s="43"/>
      <x:c r="K8" s="43"/>
    </x:row>
    <x:row r="9">
      <x:c r="A9" s="43" t="str">
        <x:v>C5</x:v>
      </x:c>
      <x:c r="B9" s="43" t="str">
        <x:v>Failover State Machine</x:v>
      </x:c>
      <x:c r="C9" s="43" t="str">
        <x:v>Codex Cloud or CLI in repo</x:v>
      </x:c>
      <x:c r="D9" s="43" t="str">
        <x:v>Implement test-aligned failover and recovery: detect degraded MANET when RSSI &lt; -78 dBm for 10 seconds or route timeout/ACK failure; activate WiFi-router simulated satellite link; recover after stable link for 10 seconds and switch back within 5 seconds. Add logs with timestamps.</x:v>
      </x:c>
      <x:c r="E9" s="43" t="str">
        <x:v>rpi-gateway/* esp32-node-platformio/* docs/test-procedures/*</x:v>
      </x:c>
      <x:c r="F9" s="43" t="str">
        <x:v>python simulation test command; pio run if ESP32 changed</x:v>
      </x:c>
      <x:c r="G9" s="43" t="str">
        <x:v>Baseline, degradation, failover, recovery scenarios are testable in simulation</x:v>
      </x:c>
      <x:c r="H9" s="43" t="str">
        <x:v>Simulation test report</x:v>
      </x:c>
      <x:c r="I9" s="43" t="str">
        <x:v>Not Started</x:v>
      </x:c>
      <x:c r="J9" s="43"/>
      <x:c r="K9" s="43"/>
    </x:row>
    <x:row r="10">
      <x:c r="A10" s="43" t="str">
        <x:v>C6</x:v>
      </x:c>
      <x:c r="B10" s="43" t="str">
        <x:v>Android App MVP</x:v>
      </x:c>
      <x:c r="C10" s="43" t="str">
        <x:v>Codex Cloud or CLI in repo</x:v>
      </x:c>
      <x:c r="D10" s="43" t="str">
        <x:v>Create Android Kotlin app MVP with chat screen, Bluetooth pairing to ESP32 node, network mode selector Auto/LoRa/WiFi/GSM, and status display. GSM/WiFi can begin as selectable placeholders unless implementation step says otherwise.</x:v>
      </x:c>
      <x:c r="E10" s="43" t="str">
        <x:v>android-chat-app/*</x:v>
      </x:c>
      <x:c r="F10" s="43" t="str">
        <x:v>./gradlew test or Android Studio build</x:v>
      </x:c>
      <x:c r="G10" s="43" t="str">
        <x:v>Build succeeds; UI shows manual and auto network choices; Bluetooth path documented</x:v>
      </x:c>
      <x:c r="H10" s="43" t="str">
        <x:v>APK build screenshot</x:v>
      </x:c>
      <x:c r="I10" s="43" t="str">
        <x:v>Not Started</x:v>
      </x:c>
      <x:c r="J10" s="43"/>
      <x:c r="K10" s="43"/>
    </x:row>
    <x:row r="11">
      <x:c r="A11" s="43"/>
      <x:c r="B11" s="43"/>
      <x:c r="C11" s="43"/>
      <x:c r="D11" s="43"/>
      <x:c r="E11" s="43"/>
      <x:c r="F11" s="43"/>
      <x:c r="G11" s="43"/>
      <x:c r="H11" s="43"/>
      <x:c r="I11" s="43"/>
      <x:c r="J11" s="43"/>
      <x:c r="K11" s="43"/>
    </x:row>
    <x:row r="12">
      <x:c r="A12" s="43"/>
      <x:c r="B12" s="43"/>
      <x:c r="C12" s="43"/>
      <x:c r="D12" s="43"/>
      <x:c r="E12" s="43"/>
      <x:c r="F12" s="43"/>
      <x:c r="G12" s="43"/>
      <x:c r="H12" s="43"/>
      <x:c r="I12" s="43"/>
      <x:c r="J12" s="43"/>
      <x:c r="K12" s="43"/>
    </x:row>
    <x:row r="13">
      <x:c r="A13" s="43"/>
      <x:c r="B13" s="43"/>
      <x:c r="C13" s="43"/>
      <x:c r="D13" s="43"/>
      <x:c r="E13" s="43"/>
      <x:c r="F13" s="43"/>
      <x:c r="G13" s="43"/>
      <x:c r="H13" s="43"/>
      <x:c r="I13" s="43"/>
      <x:c r="J13" s="43"/>
      <x:c r="K13" s="43"/>
    </x:row>
    <x:row r="14">
      <x:c r="A14" s="43"/>
      <x:c r="B14" s="43"/>
      <x:c r="C14" s="43"/>
      <x:c r="D14" s="43"/>
      <x:c r="E14" s="43"/>
      <x:c r="F14" s="43"/>
      <x:c r="G14" s="43"/>
      <x:c r="H14" s="43"/>
      <x:c r="I14" s="43"/>
      <x:c r="J14" s="43"/>
      <x:c r="K14" s="43"/>
    </x:row>
    <x:row r="15">
      <x:c r="A15" s="43"/>
      <x:c r="B15" s="43"/>
      <x:c r="C15" s="43"/>
      <x:c r="D15" s="43"/>
      <x:c r="E15" s="43"/>
      <x:c r="F15" s="43"/>
      <x:c r="G15" s="43"/>
      <x:c r="H15" s="43"/>
      <x:c r="I15" s="43"/>
      <x:c r="J15" s="43"/>
      <x:c r="K15" s="43"/>
    </x:row>
    <x:row r="16">
      <x:c r="A16" s="43"/>
      <x:c r="B16" s="43"/>
      <x:c r="C16" s="43"/>
      <x:c r="D16" s="43"/>
      <x:c r="E16" s="43"/>
      <x:c r="F16" s="43"/>
      <x:c r="G16" s="43"/>
      <x:c r="H16" s="43"/>
      <x:c r="I16" s="43"/>
      <x:c r="J16" s="43"/>
      <x:c r="K16" s="43"/>
    </x:row>
    <x:row r="17">
      <x:c r="A17" s="43"/>
      <x:c r="B17" s="43"/>
      <x:c r="C17" s="43"/>
      <x:c r="D17" s="43"/>
      <x:c r="E17" s="43"/>
      <x:c r="F17" s="43"/>
      <x:c r="G17" s="43"/>
      <x:c r="H17" s="43"/>
      <x:c r="I17" s="43"/>
      <x:c r="J17" s="43"/>
      <x:c r="K17" s="43"/>
    </x:row>
    <x:row r="18">
      <x:c r="A18" s="43"/>
      <x:c r="B18" s="43"/>
      <x:c r="C18" s="43"/>
      <x:c r="D18" s="43"/>
      <x:c r="E18" s="43"/>
      <x:c r="F18" s="43"/>
      <x:c r="G18" s="43"/>
      <x:c r="H18" s="43"/>
      <x:c r="I18" s="43"/>
      <x:c r="J18" s="43"/>
      <x:c r="K18" s="43"/>
    </x:row>
    <x:row r="19">
      <x:c r="A19" s="43"/>
      <x:c r="B19" s="43"/>
      <x:c r="C19" s="43"/>
      <x:c r="D19" s="43"/>
      <x:c r="E19" s="43"/>
      <x:c r="F19" s="43"/>
      <x:c r="G19" s="43"/>
      <x:c r="H19" s="43"/>
      <x:c r="I19" s="43"/>
      <x:c r="J19" s="43"/>
      <x:c r="K19" s="43"/>
    </x:row>
    <x:row r="20">
      <x:c r="A20" s="43"/>
      <x:c r="B20" s="43"/>
      <x:c r="C20" s="43"/>
      <x:c r="D20" s="43"/>
      <x:c r="E20" s="43"/>
      <x:c r="F20" s="43"/>
      <x:c r="G20" s="43"/>
      <x:c r="H20" s="43"/>
      <x:c r="I20" s="43"/>
      <x:c r="J20" s="43"/>
      <x:c r="K20" s="43"/>
    </x:row>
    <x:row r="21">
      <x:c r="A21" s="43"/>
      <x:c r="B21" s="43"/>
      <x:c r="C21" s="43"/>
      <x:c r="D21" s="43"/>
      <x:c r="E21" s="43"/>
      <x:c r="F21" s="43"/>
      <x:c r="G21" s="43"/>
      <x:c r="H21" s="43"/>
      <x:c r="I21" s="43"/>
      <x:c r="J21" s="43"/>
      <x:c r="K21" s="43"/>
    </x:row>
    <x:row r="22">
      <x:c r="A22" s="43"/>
      <x:c r="B22" s="43"/>
      <x:c r="C22" s="43"/>
      <x:c r="D22" s="43"/>
      <x:c r="E22" s="43"/>
      <x:c r="F22" s="43"/>
      <x:c r="G22" s="43"/>
      <x:c r="H22" s="43"/>
      <x:c r="I22" s="43"/>
      <x:c r="J22" s="43"/>
      <x:c r="K22" s="43"/>
    </x:row>
    <x:row r="23">
      <x:c r="A23" s="43"/>
      <x:c r="B23" s="43"/>
      <x:c r="C23" s="43"/>
      <x:c r="D23" s="43"/>
      <x:c r="E23" s="43"/>
      <x:c r="F23" s="43"/>
      <x:c r="G23" s="43"/>
      <x:c r="H23" s="43"/>
      <x:c r="I23" s="43"/>
      <x:c r="J23" s="43"/>
      <x:c r="K23" s="43"/>
    </x:row>
    <x:row r="24">
      <x:c r="A24" s="43"/>
      <x:c r="B24" s="43"/>
      <x:c r="C24" s="43"/>
      <x:c r="D24" s="43"/>
      <x:c r="E24" s="43"/>
      <x:c r="F24" s="43"/>
      <x:c r="G24" s="43"/>
      <x:c r="H24" s="43"/>
      <x:c r="I24" s="43"/>
      <x:c r="J24" s="43"/>
      <x:c r="K24" s="43"/>
    </x:row>
    <x:row r="25">
      <x:c r="A25" s="43"/>
      <x:c r="B25" s="43"/>
      <x:c r="C25" s="43"/>
      <x:c r="D25" s="43"/>
      <x:c r="E25" s="43"/>
      <x:c r="F25" s="43"/>
      <x:c r="G25" s="43"/>
      <x:c r="H25" s="43"/>
      <x:c r="I25" s="43"/>
      <x:c r="J25" s="43"/>
      <x:c r="K25" s="43"/>
    </x:row>
    <x:row r="26">
      <x:c r="A26" s="43"/>
      <x:c r="B26" s="43"/>
      <x:c r="C26" s="43"/>
      <x:c r="D26" s="43"/>
      <x:c r="E26" s="43"/>
      <x:c r="F26" s="43"/>
      <x:c r="G26" s="43"/>
      <x:c r="H26" s="43"/>
      <x:c r="I26" s="43"/>
      <x:c r="J26" s="43"/>
      <x:c r="K26" s="43"/>
    </x:row>
    <x:row r="27">
      <x:c r="A27" s="43"/>
      <x:c r="B27" s="43"/>
      <x:c r="C27" s="43"/>
      <x:c r="D27" s="43"/>
      <x:c r="E27" s="43"/>
      <x:c r="F27" s="43"/>
      <x:c r="G27" s="43"/>
      <x:c r="H27" s="43"/>
      <x:c r="I27" s="43"/>
      <x:c r="J27" s="43"/>
      <x:c r="K27" s="43"/>
    </x:row>
    <x:row r="28">
      <x:c r="A28" s="43"/>
      <x:c r="B28" s="43"/>
      <x:c r="C28" s="43"/>
      <x:c r="D28" s="43"/>
      <x:c r="E28" s="43"/>
      <x:c r="F28" s="43"/>
      <x:c r="G28" s="43"/>
      <x:c r="H28" s="43"/>
      <x:c r="I28" s="43"/>
      <x:c r="J28" s="43"/>
      <x:c r="K28" s="43"/>
    </x:row>
    <x:row r="29">
      <x:c r="A29" s="43"/>
      <x:c r="B29" s="43"/>
      <x:c r="C29" s="43"/>
      <x:c r="D29" s="43"/>
      <x:c r="E29" s="43"/>
      <x:c r="F29" s="43"/>
      <x:c r="G29" s="43"/>
      <x:c r="H29" s="43"/>
      <x:c r="I29" s="43"/>
      <x:c r="J29" s="43"/>
      <x:c r="K29" s="43"/>
    </x:row>
    <x:row r="30">
      <x:c r="A30" s="43"/>
      <x:c r="B30" s="43"/>
      <x:c r="C30" s="43"/>
      <x:c r="D30" s="43"/>
      <x:c r="E30" s="43"/>
      <x:c r="F30" s="43"/>
      <x:c r="G30" s="43"/>
      <x:c r="H30" s="43"/>
      <x:c r="I30" s="43"/>
      <x:c r="J30" s="43"/>
      <x:c r="K30" s="43"/>
    </x:row>
    <x:row r="31">
      <x:c r="A31" s="43"/>
      <x:c r="B31" s="43"/>
      <x:c r="C31" s="43"/>
      <x:c r="D31" s="43"/>
      <x:c r="E31" s="43"/>
      <x:c r="F31" s="43"/>
      <x:c r="G31" s="43"/>
      <x:c r="H31" s="43"/>
      <x:c r="I31" s="43"/>
      <x:c r="J31" s="43"/>
      <x:c r="K31" s="43"/>
    </x:row>
    <x:row r="32">
      <x:c r="A32" s="43"/>
      <x:c r="B32" s="43"/>
      <x:c r="C32" s="43"/>
      <x:c r="D32" s="43"/>
      <x:c r="E32" s="43"/>
      <x:c r="F32" s="43"/>
      <x:c r="G32" s="43"/>
      <x:c r="H32" s="43"/>
      <x:c r="I32" s="43"/>
      <x:c r="J32" s="43"/>
      <x:c r="K32" s="43"/>
    </x:row>
    <x:row r="33">
      <x:c r="A33" s="43"/>
      <x:c r="B33" s="43"/>
      <x:c r="C33" s="43"/>
      <x:c r="D33" s="43"/>
      <x:c r="E33" s="43"/>
      <x:c r="F33" s="43"/>
      <x:c r="G33" s="43"/>
      <x:c r="H33" s="43"/>
      <x:c r="I33" s="43"/>
      <x:c r="J33" s="43"/>
      <x:c r="K33" s="43"/>
    </x:row>
    <x:row r="34">
      <x:c r="A34" s="43"/>
      <x:c r="B34" s="43"/>
      <x:c r="C34" s="43"/>
      <x:c r="D34" s="43"/>
      <x:c r="E34" s="43"/>
      <x:c r="F34" s="43"/>
      <x:c r="G34" s="43"/>
      <x:c r="H34" s="43"/>
      <x:c r="I34" s="43"/>
      <x:c r="J34" s="43"/>
      <x:c r="K34" s="43"/>
    </x:row>
    <x:row r="35">
      <x:c r="A35" s="43"/>
      <x:c r="B35" s="43"/>
      <x:c r="C35" s="43"/>
      <x:c r="D35" s="43"/>
      <x:c r="E35" s="43"/>
      <x:c r="F35" s="43"/>
      <x:c r="G35" s="43"/>
      <x:c r="H35" s="43"/>
      <x:c r="I35" s="43"/>
      <x:c r="J35" s="43"/>
      <x:c r="K35" s="43"/>
    </x:row>
    <x:row r="36">
      <x:c r="A36" s="43"/>
      <x:c r="B36" s="43"/>
      <x:c r="C36" s="43"/>
      <x:c r="D36" s="43"/>
      <x:c r="E36" s="43"/>
      <x:c r="F36" s="43"/>
      <x:c r="G36" s="43"/>
      <x:c r="H36" s="43"/>
      <x:c r="I36" s="43"/>
      <x:c r="J36" s="43"/>
      <x:c r="K36" s="43"/>
    </x:row>
    <x:row r="37">
      <x:c r="A37" s="43"/>
      <x:c r="B37" s="43"/>
      <x:c r="C37" s="43"/>
      <x:c r="D37" s="43"/>
      <x:c r="E37" s="43"/>
      <x:c r="F37" s="43"/>
      <x:c r="G37" s="43"/>
      <x:c r="H37" s="43"/>
      <x:c r="I37" s="43"/>
      <x:c r="J37" s="43"/>
      <x:c r="K37" s="43"/>
    </x:row>
    <x:row r="38">
      <x:c r="A38" s="43"/>
      <x:c r="B38" s="43"/>
      <x:c r="C38" s="43"/>
      <x:c r="D38" s="43"/>
      <x:c r="E38" s="43"/>
      <x:c r="F38" s="43"/>
      <x:c r="G38" s="43"/>
      <x:c r="H38" s="43"/>
      <x:c r="I38" s="43"/>
      <x:c r="J38" s="43"/>
      <x:c r="K38" s="43"/>
    </x:row>
    <x:row r="39">
      <x:c r="A39" s="43"/>
      <x:c r="B39" s="43"/>
      <x:c r="C39" s="43"/>
      <x:c r="D39" s="43"/>
      <x:c r="E39" s="43"/>
      <x:c r="F39" s="43"/>
      <x:c r="G39" s="43"/>
      <x:c r="H39" s="43"/>
      <x:c r="I39" s="43"/>
      <x:c r="J39" s="43"/>
      <x:c r="K39" s="43"/>
    </x:row>
    <x:row r="40">
      <x:c r="A40" s="43"/>
      <x:c r="B40" s="43"/>
      <x:c r="C40" s="43"/>
      <x:c r="D40" s="43"/>
      <x:c r="E40" s="43"/>
      <x:c r="F40" s="43"/>
      <x:c r="G40" s="43"/>
      <x:c r="H40" s="43"/>
      <x:c r="I40" s="43"/>
      <x:c r="J40" s="43"/>
      <x:c r="K40" s="43"/>
    </x:row>
    <x:row r="41">
      <x:c r="A41" s="43"/>
      <x:c r="B41" s="43"/>
      <x:c r="C41" s="43"/>
      <x:c r="D41" s="43"/>
      <x:c r="E41" s="43"/>
      <x:c r="F41" s="43"/>
      <x:c r="G41" s="43"/>
      <x:c r="H41" s="43"/>
      <x:c r="I41" s="43"/>
      <x:c r="J41" s="43"/>
      <x:c r="K41" s="43"/>
    </x:row>
    <x:row r="42">
      <x:c r="A42" s="43"/>
      <x:c r="B42" s="43"/>
      <x:c r="C42" s="43"/>
      <x:c r="D42" s="43"/>
      <x:c r="E42" s="43"/>
      <x:c r="F42" s="43"/>
      <x:c r="G42" s="43"/>
      <x:c r="H42" s="43"/>
      <x:c r="I42" s="43"/>
      <x:c r="J42" s="43"/>
      <x:c r="K42" s="43"/>
    </x:row>
    <x:row r="43">
      <x:c r="A43" s="43"/>
      <x:c r="B43" s="43"/>
      <x:c r="C43" s="43"/>
      <x:c r="D43" s="43"/>
      <x:c r="E43" s="43"/>
      <x:c r="F43" s="43"/>
      <x:c r="G43" s="43"/>
      <x:c r="H43" s="43"/>
      <x:c r="I43" s="43"/>
      <x:c r="J43" s="43"/>
      <x:c r="K43" s="43"/>
    </x:row>
    <x:row r="44">
      <x:c r="A44" s="43"/>
      <x:c r="B44" s="43"/>
      <x:c r="C44" s="43"/>
      <x:c r="D44" s="43"/>
      <x:c r="E44" s="43"/>
      <x:c r="F44" s="43"/>
      <x:c r="G44" s="43"/>
      <x:c r="H44" s="43"/>
      <x:c r="I44" s="43"/>
      <x:c r="J44" s="43"/>
      <x:c r="K44" s="43"/>
    </x:row>
    <x:row r="45">
      <x:c r="A45" s="43"/>
      <x:c r="B45" s="43"/>
      <x:c r="C45" s="43"/>
      <x:c r="D45" s="43"/>
      <x:c r="E45" s="43"/>
      <x:c r="F45" s="43"/>
      <x:c r="G45" s="43"/>
      <x:c r="H45" s="43"/>
      <x:c r="I45" s="43"/>
      <x:c r="J45" s="43"/>
      <x:c r="K45" s="43"/>
    </x:row>
    <x:row r="46">
      <x:c r="A46" s="43"/>
      <x:c r="B46" s="43"/>
      <x:c r="C46" s="43"/>
      <x:c r="D46" s="43"/>
      <x:c r="E46" s="43"/>
      <x:c r="F46" s="43"/>
      <x:c r="G46" s="43"/>
      <x:c r="H46" s="43"/>
      <x:c r="I46" s="43"/>
      <x:c r="J46" s="43"/>
      <x:c r="K46" s="43"/>
    </x:row>
    <x:row r="47">
      <x:c r="A47" s="43"/>
      <x:c r="B47" s="43"/>
      <x:c r="C47" s="43"/>
      <x:c r="D47" s="43"/>
      <x:c r="E47" s="43"/>
      <x:c r="F47" s="43"/>
      <x:c r="G47" s="43"/>
      <x:c r="H47" s="43"/>
      <x:c r="I47" s="43"/>
      <x:c r="J47" s="43"/>
      <x:c r="K47" s="43"/>
    </x:row>
    <x:row r="48">
      <x:c r="A48" s="43"/>
      <x:c r="B48" s="43"/>
      <x:c r="C48" s="43"/>
      <x:c r="D48" s="43"/>
      <x:c r="E48" s="43"/>
      <x:c r="F48" s="43"/>
      <x:c r="G48" s="43"/>
      <x:c r="H48" s="43"/>
      <x:c r="I48" s="43"/>
      <x:c r="J48" s="43"/>
      <x:c r="K48" s="43"/>
    </x:row>
    <x:row r="49">
      <x:c r="A49" s="43"/>
      <x:c r="B49" s="43"/>
      <x:c r="C49" s="43"/>
      <x:c r="D49" s="43"/>
      <x:c r="E49" s="43"/>
      <x:c r="F49" s="43"/>
      <x:c r="G49" s="43"/>
      <x:c r="H49" s="43"/>
      <x:c r="I49" s="43"/>
      <x:c r="J49" s="43"/>
      <x:c r="K49" s="43"/>
    </x:row>
    <x:row r="50">
      <x:c r="A50" s="43"/>
      <x:c r="B50" s="43"/>
      <x:c r="C50" s="43"/>
      <x:c r="D50" s="43"/>
      <x:c r="E50" s="43"/>
      <x:c r="F50" s="43"/>
      <x:c r="G50" s="43"/>
      <x:c r="H50" s="43"/>
      <x:c r="I50" s="43"/>
      <x:c r="J50" s="43"/>
      <x:c r="K50" s="43"/>
    </x:row>
    <x:row r="51">
      <x:c r="A51" s="43"/>
      <x:c r="B51" s="43"/>
      <x:c r="C51" s="43"/>
      <x:c r="D51" s="43"/>
      <x:c r="E51" s="43"/>
      <x:c r="F51" s="43"/>
      <x:c r="G51" s="43"/>
      <x:c r="H51" s="43"/>
      <x:c r="I51" s="43"/>
      <x:c r="J51" s="43"/>
      <x:c r="K51" s="43"/>
    </x:row>
    <x:row r="52">
      <x:c r="A52" s="43"/>
      <x:c r="B52" s="43"/>
      <x:c r="C52" s="43"/>
      <x:c r="D52" s="43"/>
      <x:c r="E52" s="43"/>
      <x:c r="F52" s="43"/>
      <x:c r="G52" s="43"/>
      <x:c r="H52" s="43"/>
      <x:c r="I52" s="43"/>
      <x:c r="J52" s="43"/>
      <x:c r="K52" s="43"/>
    </x:row>
    <x:row r="53">
      <x:c r="A53" s="43"/>
      <x:c r="B53" s="43"/>
      <x:c r="C53" s="43"/>
      <x:c r="D53" s="43"/>
      <x:c r="E53" s="43"/>
      <x:c r="F53" s="43"/>
      <x:c r="G53" s="43"/>
      <x:c r="H53" s="43"/>
      <x:c r="I53" s="43"/>
      <x:c r="J53" s="43"/>
      <x:c r="K53" s="43"/>
    </x:row>
    <x:row r="54">
      <x:c r="A54" s="43"/>
      <x:c r="B54" s="43"/>
      <x:c r="C54" s="43"/>
      <x:c r="D54" s="43"/>
      <x:c r="E54" s="43"/>
      <x:c r="F54" s="43"/>
      <x:c r="G54" s="43"/>
      <x:c r="H54" s="43"/>
      <x:c r="I54" s="43"/>
      <x:c r="J54" s="43"/>
      <x:c r="K54" s="43"/>
    </x:row>
    <x:row r="55">
      <x:c r="A55" s="43"/>
      <x:c r="B55" s="43"/>
      <x:c r="C55" s="43"/>
      <x:c r="D55" s="43"/>
      <x:c r="E55" s="43"/>
      <x:c r="F55" s="43"/>
      <x:c r="G55" s="43"/>
      <x:c r="H55" s="43"/>
      <x:c r="I55" s="43"/>
      <x:c r="J55" s="43"/>
      <x:c r="K55" s="43"/>
    </x:row>
    <x:row r="56">
      <x:c r="A56" s="43"/>
      <x:c r="B56" s="43"/>
      <x:c r="C56" s="43"/>
      <x:c r="D56" s="43"/>
      <x:c r="E56" s="43"/>
      <x:c r="F56" s="43"/>
      <x:c r="G56" s="43"/>
      <x:c r="H56" s="43"/>
      <x:c r="I56" s="43"/>
      <x:c r="J56" s="43"/>
      <x:c r="K56" s="43"/>
    </x:row>
    <x:row r="57">
      <x:c r="A57" s="43"/>
      <x:c r="B57" s="43"/>
      <x:c r="C57" s="43"/>
      <x:c r="D57" s="43"/>
      <x:c r="E57" s="43"/>
      <x:c r="F57" s="43"/>
      <x:c r="G57" s="43"/>
      <x:c r="H57" s="43"/>
      <x:c r="I57" s="43"/>
      <x:c r="J57" s="43"/>
      <x:c r="K57" s="43"/>
    </x:row>
    <x:row r="58">
      <x:c r="A58" s="43"/>
      <x:c r="B58" s="43"/>
      <x:c r="C58" s="43"/>
      <x:c r="D58" s="43"/>
      <x:c r="E58" s="43"/>
      <x:c r="F58" s="43"/>
      <x:c r="G58" s="43"/>
      <x:c r="H58" s="43"/>
      <x:c r="I58" s="43"/>
      <x:c r="J58" s="43"/>
      <x:c r="K58" s="43"/>
    </x:row>
    <x:row r="59">
      <x:c r="A59" s="43"/>
      <x:c r="B59" s="43"/>
      <x:c r="C59" s="43"/>
      <x:c r="D59" s="43"/>
      <x:c r="E59" s="43"/>
      <x:c r="F59" s="43"/>
      <x:c r="G59" s="43"/>
      <x:c r="H59" s="43"/>
      <x:c r="I59" s="43"/>
      <x:c r="J59" s="43"/>
      <x:c r="K59" s="43"/>
    </x:row>
    <x:row r="60">
      <x:c r="A60" s="43"/>
      <x:c r="B60" s="43"/>
      <x:c r="C60" s="43"/>
      <x:c r="D60" s="43"/>
      <x:c r="E60" s="43"/>
      <x:c r="F60" s="43"/>
      <x:c r="G60" s="43"/>
      <x:c r="H60" s="43"/>
      <x:c r="I60" s="43"/>
      <x:c r="J60" s="43"/>
      <x:c r="K60" s="43"/>
    </x:row>
  </x:sheetData>
  <x:mergeCells>
    <x:mergeCell ref="A1:I1"/>
  </x:mergeCells>
  <x:dataValidations count="1">
    <x:dataValidation type="list" sqref="I4:I10">
      <x:formula1>"Not Started,In Progress,Blocked,Completed,Skipped,Planned,Available"</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28" hidden="0" customWidth="1"/>
    <x:col min="2" max="2" width="42" hidden="0" customWidth="1"/>
    <x:col min="3" max="3" width="20" hidden="0" customWidth="1"/>
    <x:col min="4" max="4" width="16" hidden="0" customWidth="1"/>
    <x:col min="5" max="5" width="14" hidden="0" customWidth="1"/>
    <x:col min="6" max="6" width="35" hidden="0" customWidth="1"/>
    <x:col min="7" max="7" width="24" hidden="0" customWidth="1"/>
    <x:col min="8" max="8" width="20" hidden="0" customWidth="1"/>
    <x:col min="9" max="9" width="14" hidden="0" customWidth="1"/>
  </x:cols>
  <x:sheetData>
    <x:row r="1">
      <x:c r="A1" s="220" t="str">
        <x:v>RECOMMENDED GITHUB REPOSITORY STRUCTURE</x:v>
      </x:c>
      <x:c r="B1" s="220"/>
      <x:c r="C1" s="220"/>
      <x:c r="D1" s="220"/>
      <x:c r="E1" s="220"/>
      <x:c r="F1" s="220"/>
      <x:c r="G1" s="220"/>
      <x:c r="H1" s="220"/>
      <x:c r="I1" s="220"/>
      <x:c r="J1" s="43"/>
      <x:c r="K1" s="43"/>
    </x:row>
    <x:row r="2">
      <x:c r="A2" s="43"/>
      <x:c r="B2" s="43"/>
      <x:c r="C2" s="43"/>
      <x:c r="D2" s="43"/>
      <x:c r="E2" s="43"/>
      <x:c r="F2" s="43"/>
      <x:c r="G2" s="43"/>
      <x:c r="H2" s="43"/>
      <x:c r="I2" s="43"/>
      <x:c r="J2" s="43"/>
      <x:c r="K2" s="43"/>
    </x:row>
    <x:row r="3">
      <x:c r="A3" s="204" t="str">
        <x:v>Path</x:v>
      </x:c>
      <x:c r="B3" s="204" t="str">
        <x:v>Purpose</x:v>
      </x:c>
      <x:c r="C3" s="204" t="str">
        <x:v>Owner Component</x:v>
      </x:c>
      <x:c r="D3" s="204" t="str">
        <x:v>Created In Step</x:v>
      </x:c>
      <x:c r="E3" s="204" t="str">
        <x:v>Codex Allowed?</x:v>
      </x:c>
      <x:c r="F3" s="204" t="str">
        <x:v>Notes</x:v>
      </x:c>
      <x:c r="G3" s="204" t="str">
        <x:v>Test Command</x:v>
      </x:c>
      <x:c r="H3" s="204" t="str">
        <x:v>Evidence</x:v>
      </x:c>
      <x:c r="I3" s="204" t="str">
        <x:v>Status</x:v>
      </x:c>
      <x:c r="J3" s="43"/>
      <x:c r="K3" s="43"/>
    </x:row>
    <x:row r="4">
      <x:c r="A4" s="43" t="str">
        <x:v>/esp32-node-platformio/</x:v>
      </x:c>
      <x:c r="B4" s="43" t="str">
        <x:v>ESP32 MANET node firmware for simulation, LoRa, Bluetooth pairing, and message forwarding.</x:v>
      </x:c>
      <x:c r="C4" s="43" t="str">
        <x:v>ESP32 Node</x:v>
      </x:c>
      <x:c r="D4" s="43" t="str">
        <x:v>Repo Setup</x:v>
      </x:c>
      <x:c r="E4" s="43" t="str">
        <x:v>Yes</x:v>
      </x:c>
      <x:c r="F4" s="43" t="str">
        <x:v>PlatformIO project; keep hardware pins documented in README.</x:v>
      </x:c>
      <x:c r="G4" s="43" t="str">
        <x:v>pio run</x:v>
      </x:c>
      <x:c r="H4" s="43" t="str">
        <x:v>Build log</x:v>
      </x:c>
      <x:c r="I4" s="43" t="str">
        <x:v>Planned</x:v>
      </x:c>
      <x:c r="J4" s="43"/>
      <x:c r="K4" s="43"/>
    </x:row>
    <x:row r="5">
      <x:c r="A5" s="43" t="str">
        <x:v>/rpi-gateway/</x:v>
      </x:c>
      <x:c r="B5" s="43" t="str">
        <x:v>Raspberry Pi 3B gateway service, LoRa SPI handler, Flask dashboard, routing/failover engine, SQLite store.</x:v>
      </x:c>
      <x:c r="C5" s="43" t="str">
        <x:v>Gateway</x:v>
      </x:c>
      <x:c r="D5" s="43" t="str">
        <x:v>Repo Setup</x:v>
      </x:c>
      <x:c r="E5" s="43" t="str">
        <x:v>Yes</x:v>
      </x:c>
      <x:c r="F5" s="43" t="str">
        <x:v>Can run in simulation mode on Mac before Raspberry Pi deployment.</x:v>
      </x:c>
      <x:c r="G5" s="43" t="str">
        <x:v>python -m pytest or python app.py --simulate</x:v>
      </x:c>
      <x:c r="H5" s="43" t="str">
        <x:v>Service logs</x:v>
      </x:c>
      <x:c r="I5" s="43" t="str">
        <x:v>Planned</x:v>
      </x:c>
      <x:c r="J5" s="43"/>
      <x:c r="K5" s="43"/>
    </x:row>
    <x:row r="6">
      <x:c r="A6" s="43" t="str">
        <x:v>/android-chat-app/</x:v>
      </x:c>
      <x:c r="B6" s="43" t="str">
        <x:v>Android Studio/Kotlin messaging app with Auto/Manual network selection and Bluetooth link to ESP32.</x:v>
      </x:c>
      <x:c r="C6" s="43" t="str">
        <x:v>Android App</x:v>
      </x:c>
      <x:c r="D6" s="43" t="str">
        <x:v>Repo Setup</x:v>
      </x:c>
      <x:c r="E6" s="43" t="str">
        <x:v>Yes</x:v>
      </x:c>
      <x:c r="F6" s="43" t="str">
        <x:v>Start after ESP32 and gateway protocol stabilize.</x:v>
      </x:c>
      <x:c r="G6" s="43" t="str">
        <x:v>./gradlew test or Android Studio build</x:v>
      </x:c>
      <x:c r="H6" s="43" t="str">
        <x:v>Build output/screenshots</x:v>
      </x:c>
      <x:c r="I6" s="43" t="str">
        <x:v>Planned</x:v>
      </x:c>
      <x:c r="J6" s="43"/>
      <x:c r="K6" s="43"/>
    </x:row>
    <x:row r="7">
      <x:c r="A7" s="43" t="str">
        <x:v>/docs/workbook/</x:v>
      </x:c>
      <x:c r="B7" s="43" t="str">
        <x:v>Official project workbook for step tracking and continuity between chats.</x:v>
      </x:c>
      <x:c r="C7" s="43" t="str">
        <x:v>Documentation</x:v>
      </x:c>
      <x:c r="D7" s="43" t="str">
        <x:v>Repo Setup</x:v>
      </x:c>
      <x:c r="E7" s="43" t="str">
        <x:v>Limited</x:v>
      </x:c>
      <x:c r="F7" s="43" t="str">
        <x:v>Workbook is updated by ChatGPT/user after tests; Codex may update only when explicitly instructed.</x:v>
      </x:c>
      <x:c r="G7" s="43" t="str">
        <x:v>Manual review</x:v>
      </x:c>
      <x:c r="H7" s="43" t="str">
        <x:v>Updated XLSX</x:v>
      </x:c>
      <x:c r="I7" s="43" t="str">
        <x:v>Planned</x:v>
      </x:c>
      <x:c r="J7" s="43"/>
      <x:c r="K7" s="43"/>
    </x:row>
    <x:row r="8">
      <x:c r="A8" s="43" t="str">
        <x:v>/docs/diagrams/</x:v>
      </x:c>
      <x:c r="B8" s="43" t="str">
        <x:v>System architecture and message/data flow diagrams.</x:v>
      </x:c>
      <x:c r="C8" s="43" t="str">
        <x:v>Documentation</x:v>
      </x:c>
      <x:c r="D8" s="43" t="str">
        <x:v>Repo Setup</x:v>
      </x:c>
      <x:c r="E8" s="43" t="str">
        <x:v>Limited</x:v>
      </x:c>
      <x:c r="F8" s="43" t="str">
        <x:v>Keep PNG exports and source notes here.</x:v>
      </x:c>
      <x:c r="G8" s="43" t="str">
        <x:v>Manual review</x:v>
      </x:c>
      <x:c r="H8" s="43" t="str">
        <x:v>PNG files</x:v>
      </x:c>
      <x:c r="I8" s="43" t="str">
        <x:v>Planned</x:v>
      </x:c>
      <x:c r="J8" s="43"/>
      <x:c r="K8" s="43"/>
    </x:row>
    <x:row r="9">
      <x:c r="A9" s="43" t="str">
        <x:v>/docs/test-procedures/</x:v>
      </x:c>
      <x:c r="B9" s="43" t="str">
        <x:v>DOCX-derived test campaign, acceptance criteria, and evidence templates.</x:v>
      </x:c>
      <x:c r="C9" s="43" t="str">
        <x:v>Documentation</x:v>
      </x:c>
      <x:c r="D9" s="43" t="str">
        <x:v>Repo Setup</x:v>
      </x:c>
      <x:c r="E9" s="43" t="str">
        <x:v>Yes</x:v>
      </x:c>
      <x:c r="F9" s="43" t="str">
        <x:v>Codex can add markdown reports/log templates.</x:v>
      </x:c>
      <x:c r="G9" s="43" t="str">
        <x:v>Manual review</x:v>
      </x:c>
      <x:c r="H9" s="43" t="str">
        <x:v>Test report</x:v>
      </x:c>
      <x:c r="I9" s="43" t="str">
        <x:v>Planned</x:v>
      </x:c>
      <x:c r="J9" s="43"/>
      <x:c r="K9" s="43"/>
    </x:row>
    <x:row r="10">
      <x:c r="A10" s="43" t="str">
        <x:v>/docs/codex-prompts/</x:v>
      </x:c>
      <x:c r="B10" s="43" t="str">
        <x:v>Reusable Codex task prompts by workbook step.</x:v>
      </x:c>
      <x:c r="C10" s="43" t="str">
        <x:v>Documentation</x:v>
      </x:c>
      <x:c r="D10" s="43" t="str">
        <x:v>Repo Setup</x:v>
      </x:c>
      <x:c r="E10" s="43" t="str">
        <x:v>Yes</x:v>
      </x:c>
      <x:c r="F10" s="43" t="str">
        <x:v>Use one prompt per task; include expected files and tests.</x:v>
      </x:c>
      <x:c r="G10" s="43" t="str">
        <x:v>Manual review</x:v>
      </x:c>
      <x:c r="H10" s="43" t="str">
        <x:v>Prompt file</x:v>
      </x:c>
      <x:c r="I10" s="43" t="str">
        <x:v>Planned</x:v>
      </x:c>
      <x:c r="J10" s="43"/>
      <x:c r="K10" s="43"/>
    </x:row>
    <x:row r="11">
      <x:c r="A11" s="43" t="str">
        <x:v>/AGENTS.md</x:v>
      </x:c>
      <x:c r="B11" s="43" t="str">
        <x:v>Codex working rules for the repository.</x:v>
      </x:c>
      <x:c r="C11" s="43" t="str">
        <x:v>Project Rules</x:v>
      </x:c>
      <x:c r="D11" s="43" t="str">
        <x:v>Repo Setup</x:v>
      </x:c>
      <x:c r="E11" s="43" t="str">
        <x:v>Yes</x:v>
      </x:c>
      <x:c r="F11" s="43" t="str">
        <x:v>Must require workbook step reference, no uncontrolled rewrite, test-aligned changes.</x:v>
      </x:c>
      <x:c r="G11" s="43" t="str">
        <x:v>Manual review</x:v>
      </x:c>
      <x:c r="H11" s="43" t="str">
        <x:v>File exists</x:v>
      </x:c>
      <x:c r="I11" s="43" t="str">
        <x:v>Planned</x:v>
      </x:c>
      <x:c r="J11" s="43"/>
      <x:c r="K11" s="43"/>
    </x:row>
    <x:row r="12">
      <x:c r="A12" s="43" t="str">
        <x:v>/README.md</x:v>
      </x:c>
      <x:c r="B12" s="43" t="str">
        <x:v>Project overview and beginner-friendly setup instructions.</x:v>
      </x:c>
      <x:c r="C12" s="43" t="str">
        <x:v>Project Docs</x:v>
      </x:c>
      <x:c r="D12" s="43" t="str">
        <x:v>Repo Setup</x:v>
      </x:c>
      <x:c r="E12" s="43" t="str">
        <x:v>Yes</x:v>
      </x:c>
      <x:c r="F12" s="43" t="str">
        <x:v>Update every time setup or run commands change.</x:v>
      </x:c>
      <x:c r="G12" s="43" t="str">
        <x:v>Manual review</x:v>
      </x:c>
      <x:c r="H12" s="43" t="str">
        <x:v>File exists</x:v>
      </x:c>
      <x:c r="I12" s="43" t="str">
        <x:v>Planned</x:v>
      </x:c>
      <x:c r="J12" s="43"/>
      <x:c r="K12" s="43"/>
    </x:row>
    <x:row r="13">
      <x:c r="A13" s="43"/>
      <x:c r="B13" s="43"/>
      <x:c r="C13" s="43"/>
      <x:c r="D13" s="43"/>
      <x:c r="E13" s="43"/>
      <x:c r="F13" s="43"/>
      <x:c r="G13" s="43"/>
      <x:c r="H13" s="43"/>
      <x:c r="I13" s="43"/>
      <x:c r="J13" s="43"/>
      <x:c r="K13" s="43"/>
    </x:row>
    <x:row r="14">
      <x:c r="A14" s="43"/>
      <x:c r="B14" s="43"/>
      <x:c r="C14" s="43"/>
      <x:c r="D14" s="43"/>
      <x:c r="E14" s="43"/>
      <x:c r="F14" s="43"/>
      <x:c r="G14" s="43"/>
      <x:c r="H14" s="43"/>
      <x:c r="I14" s="43"/>
      <x:c r="J14" s="43"/>
      <x:c r="K14" s="43"/>
    </x:row>
    <x:row r="15">
      <x:c r="A15" s="43"/>
      <x:c r="B15" s="43"/>
      <x:c r="C15" s="43"/>
      <x:c r="D15" s="43"/>
      <x:c r="E15" s="43"/>
      <x:c r="F15" s="43"/>
      <x:c r="G15" s="43"/>
      <x:c r="H15" s="43"/>
      <x:c r="I15" s="43"/>
      <x:c r="J15" s="43"/>
      <x:c r="K15" s="43"/>
    </x:row>
    <x:row r="16">
      <x:c r="A16" s="43"/>
      <x:c r="B16" s="43"/>
      <x:c r="C16" s="43"/>
      <x:c r="D16" s="43"/>
      <x:c r="E16" s="43"/>
      <x:c r="F16" s="43"/>
      <x:c r="G16" s="43"/>
      <x:c r="H16" s="43"/>
      <x:c r="I16" s="43"/>
      <x:c r="J16" s="43"/>
      <x:c r="K16" s="43"/>
    </x:row>
    <x:row r="17">
      <x:c r="A17" s="43"/>
      <x:c r="B17" s="43"/>
      <x:c r="C17" s="43"/>
      <x:c r="D17" s="43"/>
      <x:c r="E17" s="43"/>
      <x:c r="F17" s="43"/>
      <x:c r="G17" s="43"/>
      <x:c r="H17" s="43"/>
      <x:c r="I17" s="43"/>
      <x:c r="J17" s="43"/>
      <x:c r="K17" s="43"/>
    </x:row>
    <x:row r="18">
      <x:c r="A18" s="43"/>
      <x:c r="B18" s="43"/>
      <x:c r="C18" s="43"/>
      <x:c r="D18" s="43"/>
      <x:c r="E18" s="43"/>
      <x:c r="F18" s="43"/>
      <x:c r="G18" s="43"/>
      <x:c r="H18" s="43"/>
      <x:c r="I18" s="43"/>
      <x:c r="J18" s="43"/>
      <x:c r="K18" s="43"/>
    </x:row>
    <x:row r="19">
      <x:c r="A19" s="43"/>
      <x:c r="B19" s="43"/>
      <x:c r="C19" s="43"/>
      <x:c r="D19" s="43"/>
      <x:c r="E19" s="43"/>
      <x:c r="F19" s="43"/>
      <x:c r="G19" s="43"/>
      <x:c r="H19" s="43"/>
      <x:c r="I19" s="43"/>
      <x:c r="J19" s="43"/>
      <x:c r="K19" s="43"/>
    </x:row>
    <x:row r="20">
      <x:c r="A20" s="43"/>
      <x:c r="B20" s="43"/>
      <x:c r="C20" s="43"/>
      <x:c r="D20" s="43"/>
      <x:c r="E20" s="43"/>
      <x:c r="F20" s="43"/>
      <x:c r="G20" s="43"/>
      <x:c r="H20" s="43"/>
      <x:c r="I20" s="43"/>
      <x:c r="J20" s="43"/>
      <x:c r="K20" s="43"/>
    </x:row>
    <x:row r="21">
      <x:c r="A21" s="43"/>
      <x:c r="B21" s="43"/>
      <x:c r="C21" s="43"/>
      <x:c r="D21" s="43"/>
      <x:c r="E21" s="43"/>
      <x:c r="F21" s="43"/>
      <x:c r="G21" s="43"/>
      <x:c r="H21" s="43"/>
      <x:c r="I21" s="43"/>
      <x:c r="J21" s="43"/>
      <x:c r="K21" s="43"/>
    </x:row>
    <x:row r="22">
      <x:c r="A22" s="43"/>
      <x:c r="B22" s="43"/>
      <x:c r="C22" s="43"/>
      <x:c r="D22" s="43"/>
      <x:c r="E22" s="43"/>
      <x:c r="F22" s="43"/>
      <x:c r="G22" s="43"/>
      <x:c r="H22" s="43"/>
      <x:c r="I22" s="43"/>
      <x:c r="J22" s="43"/>
      <x:c r="K22" s="43"/>
    </x:row>
    <x:row r="23">
      <x:c r="A23" s="43"/>
      <x:c r="B23" s="43"/>
      <x:c r="C23" s="43"/>
      <x:c r="D23" s="43"/>
      <x:c r="E23" s="43"/>
      <x:c r="F23" s="43"/>
      <x:c r="G23" s="43"/>
      <x:c r="H23" s="43"/>
      <x:c r="I23" s="43"/>
      <x:c r="J23" s="43"/>
      <x:c r="K23" s="43"/>
    </x:row>
    <x:row r="24">
      <x:c r="A24" s="43"/>
      <x:c r="B24" s="43"/>
      <x:c r="C24" s="43"/>
      <x:c r="D24" s="43"/>
      <x:c r="E24" s="43"/>
      <x:c r="F24" s="43"/>
      <x:c r="G24" s="43"/>
      <x:c r="H24" s="43"/>
      <x:c r="I24" s="43"/>
      <x:c r="J24" s="43"/>
      <x:c r="K24" s="43"/>
    </x:row>
    <x:row r="25">
      <x:c r="A25" s="43"/>
      <x:c r="B25" s="43"/>
      <x:c r="C25" s="43"/>
      <x:c r="D25" s="43"/>
      <x:c r="E25" s="43"/>
      <x:c r="F25" s="43"/>
      <x:c r="G25" s="43"/>
      <x:c r="H25" s="43"/>
      <x:c r="I25" s="43"/>
      <x:c r="J25" s="43"/>
      <x:c r="K25" s="43"/>
    </x:row>
    <x:row r="26">
      <x:c r="A26" s="43"/>
      <x:c r="B26" s="43"/>
      <x:c r="C26" s="43"/>
      <x:c r="D26" s="43"/>
      <x:c r="E26" s="43"/>
      <x:c r="F26" s="43"/>
      <x:c r="G26" s="43"/>
      <x:c r="H26" s="43"/>
      <x:c r="I26" s="43"/>
      <x:c r="J26" s="43"/>
      <x:c r="K26" s="43"/>
    </x:row>
    <x:row r="27">
      <x:c r="A27" s="43"/>
      <x:c r="B27" s="43"/>
      <x:c r="C27" s="43"/>
      <x:c r="D27" s="43"/>
      <x:c r="E27" s="43"/>
      <x:c r="F27" s="43"/>
      <x:c r="G27" s="43"/>
      <x:c r="H27" s="43"/>
      <x:c r="I27" s="43"/>
      <x:c r="J27" s="43"/>
      <x:c r="K27" s="43"/>
    </x:row>
    <x:row r="28">
      <x:c r="A28" s="43"/>
      <x:c r="B28" s="43"/>
      <x:c r="C28" s="43"/>
      <x:c r="D28" s="43"/>
      <x:c r="E28" s="43"/>
      <x:c r="F28" s="43"/>
      <x:c r="G28" s="43"/>
      <x:c r="H28" s="43"/>
      <x:c r="I28" s="43"/>
      <x:c r="J28" s="43"/>
      <x:c r="K28" s="43"/>
    </x:row>
    <x:row r="29">
      <x:c r="A29" s="43"/>
      <x:c r="B29" s="43"/>
      <x:c r="C29" s="43"/>
      <x:c r="D29" s="43"/>
      <x:c r="E29" s="43"/>
      <x:c r="F29" s="43"/>
      <x:c r="G29" s="43"/>
      <x:c r="H29" s="43"/>
      <x:c r="I29" s="43"/>
      <x:c r="J29" s="43"/>
      <x:c r="K29" s="43"/>
    </x:row>
    <x:row r="30">
      <x:c r="A30" s="43"/>
      <x:c r="B30" s="43"/>
      <x:c r="C30" s="43"/>
      <x:c r="D30" s="43"/>
      <x:c r="E30" s="43"/>
      <x:c r="F30" s="43"/>
      <x:c r="G30" s="43"/>
      <x:c r="H30" s="43"/>
      <x:c r="I30" s="43"/>
      <x:c r="J30" s="43"/>
      <x:c r="K30" s="43"/>
    </x:row>
    <x:row r="31">
      <x:c r="A31" s="43"/>
      <x:c r="B31" s="43"/>
      <x:c r="C31" s="43"/>
      <x:c r="D31" s="43"/>
      <x:c r="E31" s="43"/>
      <x:c r="F31" s="43"/>
      <x:c r="G31" s="43"/>
      <x:c r="H31" s="43"/>
      <x:c r="I31" s="43"/>
      <x:c r="J31" s="43"/>
      <x:c r="K31" s="43"/>
    </x:row>
    <x:row r="32">
      <x:c r="A32" s="43"/>
      <x:c r="B32" s="43"/>
      <x:c r="C32" s="43"/>
      <x:c r="D32" s="43"/>
      <x:c r="E32" s="43"/>
      <x:c r="F32" s="43"/>
      <x:c r="G32" s="43"/>
      <x:c r="H32" s="43"/>
      <x:c r="I32" s="43"/>
      <x:c r="J32" s="43"/>
      <x:c r="K32" s="43"/>
    </x:row>
    <x:row r="33">
      <x:c r="A33" s="43"/>
      <x:c r="B33" s="43"/>
      <x:c r="C33" s="43"/>
      <x:c r="D33" s="43"/>
      <x:c r="E33" s="43"/>
      <x:c r="F33" s="43"/>
      <x:c r="G33" s="43"/>
      <x:c r="H33" s="43"/>
      <x:c r="I33" s="43"/>
      <x:c r="J33" s="43"/>
      <x:c r="K33" s="43"/>
    </x:row>
    <x:row r="34">
      <x:c r="A34" s="43"/>
      <x:c r="B34" s="43"/>
      <x:c r="C34" s="43"/>
      <x:c r="D34" s="43"/>
      <x:c r="E34" s="43"/>
      <x:c r="F34" s="43"/>
      <x:c r="G34" s="43"/>
      <x:c r="H34" s="43"/>
      <x:c r="I34" s="43"/>
      <x:c r="J34" s="43"/>
      <x:c r="K34" s="43"/>
    </x:row>
    <x:row r="35">
      <x:c r="A35" s="43"/>
      <x:c r="B35" s="43"/>
      <x:c r="C35" s="43"/>
      <x:c r="D35" s="43"/>
      <x:c r="E35" s="43"/>
      <x:c r="F35" s="43"/>
      <x:c r="G35" s="43"/>
      <x:c r="H35" s="43"/>
      <x:c r="I35" s="43"/>
      <x:c r="J35" s="43"/>
      <x:c r="K35" s="43"/>
    </x:row>
    <x:row r="36">
      <x:c r="A36" s="43"/>
      <x:c r="B36" s="43"/>
      <x:c r="C36" s="43"/>
      <x:c r="D36" s="43"/>
      <x:c r="E36" s="43"/>
      <x:c r="F36" s="43"/>
      <x:c r="G36" s="43"/>
      <x:c r="H36" s="43"/>
      <x:c r="I36" s="43"/>
      <x:c r="J36" s="43"/>
      <x:c r="K36" s="43"/>
    </x:row>
    <x:row r="37">
      <x:c r="A37" s="43"/>
      <x:c r="B37" s="43"/>
      <x:c r="C37" s="43"/>
      <x:c r="D37" s="43"/>
      <x:c r="E37" s="43"/>
      <x:c r="F37" s="43"/>
      <x:c r="G37" s="43"/>
      <x:c r="H37" s="43"/>
      <x:c r="I37" s="43"/>
      <x:c r="J37" s="43"/>
      <x:c r="K37" s="43"/>
    </x:row>
    <x:row r="38">
      <x:c r="A38" s="43"/>
      <x:c r="B38" s="43"/>
      <x:c r="C38" s="43"/>
      <x:c r="D38" s="43"/>
      <x:c r="E38" s="43"/>
      <x:c r="F38" s="43"/>
      <x:c r="G38" s="43"/>
      <x:c r="H38" s="43"/>
      <x:c r="I38" s="43"/>
      <x:c r="J38" s="43"/>
      <x:c r="K38" s="43"/>
    </x:row>
    <x:row r="39">
      <x:c r="A39" s="43"/>
      <x:c r="B39" s="43"/>
      <x:c r="C39" s="43"/>
      <x:c r="D39" s="43"/>
      <x:c r="E39" s="43"/>
      <x:c r="F39" s="43"/>
      <x:c r="G39" s="43"/>
      <x:c r="H39" s="43"/>
      <x:c r="I39" s="43"/>
      <x:c r="J39" s="43"/>
      <x:c r="K39" s="43"/>
    </x:row>
    <x:row r="40">
      <x:c r="A40" s="43"/>
      <x:c r="B40" s="43"/>
      <x:c r="C40" s="43"/>
      <x:c r="D40" s="43"/>
      <x:c r="E40" s="43"/>
      <x:c r="F40" s="43"/>
      <x:c r="G40" s="43"/>
      <x:c r="H40" s="43"/>
      <x:c r="I40" s="43"/>
      <x:c r="J40" s="43"/>
      <x:c r="K40" s="43"/>
    </x:row>
    <x:row r="41">
      <x:c r="A41" s="43"/>
      <x:c r="B41" s="43"/>
      <x:c r="C41" s="43"/>
      <x:c r="D41" s="43"/>
      <x:c r="E41" s="43"/>
      <x:c r="F41" s="43"/>
      <x:c r="G41" s="43"/>
      <x:c r="H41" s="43"/>
      <x:c r="I41" s="43"/>
      <x:c r="J41" s="43"/>
      <x:c r="K41" s="43"/>
    </x:row>
    <x:row r="42">
      <x:c r="A42" s="43"/>
      <x:c r="B42" s="43"/>
      <x:c r="C42" s="43"/>
      <x:c r="D42" s="43"/>
      <x:c r="E42" s="43"/>
      <x:c r="F42" s="43"/>
      <x:c r="G42" s="43"/>
      <x:c r="H42" s="43"/>
      <x:c r="I42" s="43"/>
      <x:c r="J42" s="43"/>
      <x:c r="K42" s="43"/>
    </x:row>
    <x:row r="43">
      <x:c r="A43" s="43"/>
      <x:c r="B43" s="43"/>
      <x:c r="C43" s="43"/>
      <x:c r="D43" s="43"/>
      <x:c r="E43" s="43"/>
      <x:c r="F43" s="43"/>
      <x:c r="G43" s="43"/>
      <x:c r="H43" s="43"/>
      <x:c r="I43" s="43"/>
      <x:c r="J43" s="43"/>
      <x:c r="K43" s="43"/>
    </x:row>
    <x:row r="44">
      <x:c r="A44" s="43"/>
      <x:c r="B44" s="43"/>
      <x:c r="C44" s="43"/>
      <x:c r="D44" s="43"/>
      <x:c r="E44" s="43"/>
      <x:c r="F44" s="43"/>
      <x:c r="G44" s="43"/>
      <x:c r="H44" s="43"/>
      <x:c r="I44" s="43"/>
      <x:c r="J44" s="43"/>
      <x:c r="K44" s="43"/>
    </x:row>
    <x:row r="45">
      <x:c r="A45" s="43"/>
      <x:c r="B45" s="43"/>
      <x:c r="C45" s="43"/>
      <x:c r="D45" s="43"/>
      <x:c r="E45" s="43"/>
      <x:c r="F45" s="43"/>
      <x:c r="G45" s="43"/>
      <x:c r="H45" s="43"/>
      <x:c r="I45" s="43"/>
      <x:c r="J45" s="43"/>
      <x:c r="K45" s="43"/>
    </x:row>
    <x:row r="46">
      <x:c r="A46" s="43"/>
      <x:c r="B46" s="43"/>
      <x:c r="C46" s="43"/>
      <x:c r="D46" s="43"/>
      <x:c r="E46" s="43"/>
      <x:c r="F46" s="43"/>
      <x:c r="G46" s="43"/>
      <x:c r="H46" s="43"/>
      <x:c r="I46" s="43"/>
      <x:c r="J46" s="43"/>
      <x:c r="K46" s="43"/>
    </x:row>
    <x:row r="47">
      <x:c r="A47" s="43"/>
      <x:c r="B47" s="43"/>
      <x:c r="C47" s="43"/>
      <x:c r="D47" s="43"/>
      <x:c r="E47" s="43"/>
      <x:c r="F47" s="43"/>
      <x:c r="G47" s="43"/>
      <x:c r="H47" s="43"/>
      <x:c r="I47" s="43"/>
      <x:c r="J47" s="43"/>
      <x:c r="K47" s="43"/>
    </x:row>
    <x:row r="48">
      <x:c r="A48" s="43"/>
      <x:c r="B48" s="43"/>
      <x:c r="C48" s="43"/>
      <x:c r="D48" s="43"/>
      <x:c r="E48" s="43"/>
      <x:c r="F48" s="43"/>
      <x:c r="G48" s="43"/>
      <x:c r="H48" s="43"/>
      <x:c r="I48" s="43"/>
      <x:c r="J48" s="43"/>
      <x:c r="K48" s="43"/>
    </x:row>
    <x:row r="49">
      <x:c r="A49" s="43"/>
      <x:c r="B49" s="43"/>
      <x:c r="C49" s="43"/>
      <x:c r="D49" s="43"/>
      <x:c r="E49" s="43"/>
      <x:c r="F49" s="43"/>
      <x:c r="G49" s="43"/>
      <x:c r="H49" s="43"/>
      <x:c r="I49" s="43"/>
      <x:c r="J49" s="43"/>
      <x:c r="K49" s="43"/>
    </x:row>
    <x:row r="50">
      <x:c r="A50" s="43"/>
      <x:c r="B50" s="43"/>
      <x:c r="C50" s="43"/>
      <x:c r="D50" s="43"/>
      <x:c r="E50" s="43"/>
      <x:c r="F50" s="43"/>
      <x:c r="G50" s="43"/>
      <x:c r="H50" s="43"/>
      <x:c r="I50" s="43"/>
      <x:c r="J50" s="43"/>
      <x:c r="K50" s="43"/>
    </x:row>
    <x:row r="51">
      <x:c r="A51" s="43"/>
      <x:c r="B51" s="43"/>
      <x:c r="C51" s="43"/>
      <x:c r="D51" s="43"/>
      <x:c r="E51" s="43"/>
      <x:c r="F51" s="43"/>
      <x:c r="G51" s="43"/>
      <x:c r="H51" s="43"/>
      <x:c r="I51" s="43"/>
      <x:c r="J51" s="43"/>
      <x:c r="K51" s="43"/>
    </x:row>
    <x:row r="52">
      <x:c r="A52" s="43"/>
      <x:c r="B52" s="43"/>
      <x:c r="C52" s="43"/>
      <x:c r="D52" s="43"/>
      <x:c r="E52" s="43"/>
      <x:c r="F52" s="43"/>
      <x:c r="G52" s="43"/>
      <x:c r="H52" s="43"/>
      <x:c r="I52" s="43"/>
      <x:c r="J52" s="43"/>
      <x:c r="K52" s="43"/>
    </x:row>
    <x:row r="53">
      <x:c r="A53" s="43"/>
      <x:c r="B53" s="43"/>
      <x:c r="C53" s="43"/>
      <x:c r="D53" s="43"/>
      <x:c r="E53" s="43"/>
      <x:c r="F53" s="43"/>
      <x:c r="G53" s="43"/>
      <x:c r="H53" s="43"/>
      <x:c r="I53" s="43"/>
      <x:c r="J53" s="43"/>
      <x:c r="K53" s="43"/>
    </x:row>
    <x:row r="54">
      <x:c r="A54" s="43"/>
      <x:c r="B54" s="43"/>
      <x:c r="C54" s="43"/>
      <x:c r="D54" s="43"/>
      <x:c r="E54" s="43"/>
      <x:c r="F54" s="43"/>
      <x:c r="G54" s="43"/>
      <x:c r="H54" s="43"/>
      <x:c r="I54" s="43"/>
      <x:c r="J54" s="43"/>
      <x:c r="K54" s="43"/>
    </x:row>
    <x:row r="55">
      <x:c r="A55" s="43"/>
      <x:c r="B55" s="43"/>
      <x:c r="C55" s="43"/>
      <x:c r="D55" s="43"/>
      <x:c r="E55" s="43"/>
      <x:c r="F55" s="43"/>
      <x:c r="G55" s="43"/>
      <x:c r="H55" s="43"/>
      <x:c r="I55" s="43"/>
      <x:c r="J55" s="43"/>
      <x:c r="K55" s="43"/>
    </x:row>
    <x:row r="56">
      <x:c r="A56" s="43"/>
      <x:c r="B56" s="43"/>
      <x:c r="C56" s="43"/>
      <x:c r="D56" s="43"/>
      <x:c r="E56" s="43"/>
      <x:c r="F56" s="43"/>
      <x:c r="G56" s="43"/>
      <x:c r="H56" s="43"/>
      <x:c r="I56" s="43"/>
      <x:c r="J56" s="43"/>
      <x:c r="K56" s="43"/>
    </x:row>
    <x:row r="57">
      <x:c r="A57" s="43"/>
      <x:c r="B57" s="43"/>
      <x:c r="C57" s="43"/>
      <x:c r="D57" s="43"/>
      <x:c r="E57" s="43"/>
      <x:c r="F57" s="43"/>
      <x:c r="G57" s="43"/>
      <x:c r="H57" s="43"/>
      <x:c r="I57" s="43"/>
      <x:c r="J57" s="43"/>
      <x:c r="K57" s="43"/>
    </x:row>
    <x:row r="58">
      <x:c r="A58" s="43"/>
      <x:c r="B58" s="43"/>
      <x:c r="C58" s="43"/>
      <x:c r="D58" s="43"/>
      <x:c r="E58" s="43"/>
      <x:c r="F58" s="43"/>
      <x:c r="G58" s="43"/>
      <x:c r="H58" s="43"/>
      <x:c r="I58" s="43"/>
      <x:c r="J58" s="43"/>
      <x:c r="K58" s="43"/>
    </x:row>
    <x:row r="59">
      <x:c r="A59" s="43"/>
      <x:c r="B59" s="43"/>
      <x:c r="C59" s="43"/>
      <x:c r="D59" s="43"/>
      <x:c r="E59" s="43"/>
      <x:c r="F59" s="43"/>
      <x:c r="G59" s="43"/>
      <x:c r="H59" s="43"/>
      <x:c r="I59" s="43"/>
      <x:c r="J59" s="43"/>
      <x:c r="K59" s="43"/>
    </x:row>
    <x:row r="60">
      <x:c r="A60" s="43"/>
      <x:c r="B60" s="43"/>
      <x:c r="C60" s="43"/>
      <x:c r="D60" s="43"/>
      <x:c r="E60" s="43"/>
      <x:c r="F60" s="43"/>
      <x:c r="G60" s="43"/>
      <x:c r="H60" s="43"/>
      <x:c r="I60" s="43"/>
      <x:c r="J60" s="43"/>
      <x:c r="K60" s="43"/>
    </x:row>
  </x:sheetData>
  <x:mergeCells>
    <x:mergeCell ref="A1:I1"/>
  </x:mergeCells>
  <x:dataValidations count="1">
    <x:dataValidation type="list" sqref="I4:I12">
      <x:formula1>"Not Started,In Progress,Blocked,Completed,Skipped,Planned,Available"</x:formula1>
    </x:dataValidation>
  </x:dataValidations>
  <x:pageMargins left="0.7" right="0.7" top="0.75" bottom="0.75" header="0.3" footer="0.3"/>
</x:worksheet>
</file>