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a331f8644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ad7400ba7ba4543"/>
    <x:sheet xmlns:r="http://schemas.openxmlformats.org/officeDocument/2006/relationships" name="README" sheetId="2" r:id="Re768073a3a5e44ad"/>
    <x:sheet xmlns:r="http://schemas.openxmlformats.org/officeDocument/2006/relationships" name="Architecture" sheetId="3" r:id="R8e80d155a7894a3c"/>
    <x:sheet xmlns:r="http://schemas.openxmlformats.org/officeDocument/2006/relationships" name="Phase Plan" sheetId="4" r:id="Rc9d806c65c3943eb"/>
    <x:sheet xmlns:r="http://schemas.openxmlformats.org/officeDocument/2006/relationships" name="Detailed Steps" sheetId="5" r:id="Rdd60843e88554859"/>
    <x:sheet xmlns:r="http://schemas.openxmlformats.org/officeDocument/2006/relationships" name="Hardware BOM" sheetId="6" r:id="Rf9fca5ef8d3d47e0"/>
    <x:sheet xmlns:r="http://schemas.openxmlformats.org/officeDocument/2006/relationships" name="Config Tracker" sheetId="7" r:id="Rf934c577e83f4c20"/>
    <x:sheet xmlns:r="http://schemas.openxmlformats.org/officeDocument/2006/relationships" name="Packet Protocol" sheetId="8" r:id="R6af0d6e30202463f"/>
    <x:sheet xmlns:r="http://schemas.openxmlformats.org/officeDocument/2006/relationships" name="Routing &amp; Failover" sheetId="9" r:id="R849f0fd2289840ed"/>
    <x:sheet xmlns:r="http://schemas.openxmlformats.org/officeDocument/2006/relationships" name="Simulation Plan" sheetId="10" r:id="R66624927fe54404b"/>
    <x:sheet xmlns:r="http://schemas.openxmlformats.org/officeDocument/2006/relationships" name="Android App Plan" sheetId="11" r:id="R828ee6968a9f4189"/>
    <x:sheet xmlns:r="http://schemas.openxmlformats.org/officeDocument/2006/relationships" name="Test Campaign" sheetId="12" r:id="R0549ae83c29f4ba4"/>
    <x:sheet xmlns:r="http://schemas.openxmlformats.org/officeDocument/2006/relationships" name="Progress Tracker" sheetId="13" r:id="R16f1649c322540d0"/>
    <x:sheet xmlns:r="http://schemas.openxmlformats.org/officeDocument/2006/relationships" name="Issue Log" sheetId="14" r:id="Red86ae5bed224e4d"/>
    <x:sheet xmlns:r="http://schemas.openxmlformats.org/officeDocument/2006/relationships" name="Decision Log" sheetId="15" r:id="R334837770b0545ce"/>
    <x:sheet xmlns:r="http://schemas.openxmlformats.org/officeDocument/2006/relationships" name="System Diagram" sheetId="16" r:id="R8dea577e1b9e43e4"/>
    <x:sheet xmlns:r="http://schemas.openxmlformats.org/officeDocument/2006/relationships" name="Data Flow" sheetId="17" r:id="R31d19b1d11944ba6"/>
    <x:sheet xmlns:r="http://schemas.openxmlformats.org/officeDocument/2006/relationships" name="Development Handoff" sheetId="18" r:id="Rd7ccc041c568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16">
    <x:font>
      <x:sz val="11"/>
      <x:name val="Carlito"/>
    </x:font>
    <x:font>
      <x:b/>
      <x:sz val="16"/>
      <x:color rgb="FFFFFF"/>
      <x:name val="Carlito"/>
    </x:font>
    <x:font>
      <x:b/>
      <x:sz val="11"/>
      <x:color rgb="000000"/>
      <x:name val="Carlito"/>
    </x:font>
    <x:font>
      <x:b/>
      <x:sz val="11"/>
      <x:color rgb="FFFFFF"/>
      <x:name val="Carlito"/>
    </x:font>
    <x:font>
      <x:b/>
      <x:sz val="11"/>
      <x:color rgb="1E3A8A"/>
      <x:name val="Carlito"/>
    </x:font>
    <x:font>
      <x:b/>
      <x:sz val="11"/>
      <x:color rgb="166534"/>
      <x:name val="Carlito"/>
    </x:font>
    <x:font>
      <x:b/>
      <x:sz val="11"/>
      <x:color rgb="92400E"/>
      <x:name val="Carlito"/>
    </x:font>
    <x:font>
      <x:b/>
      <x:sz val="11"/>
      <x:color rgb="991B1B"/>
      <x:name val="Carlito"/>
    </x:font>
    <x:font>
      <x:b/>
      <x:sz val="11"/>
      <x:color rgb="334155"/>
      <x:name val="Carlito"/>
    </x:font>
    <x:font>
      <x:b/>
      <x:sz val="11"/>
      <x:name val="Carlito"/>
    </x:font>
    <x:font>
      <x:sz val="11"/>
      <x:color rgb="334155"/>
      <x:name val="Carlito"/>
    </x:font>
    <x:font>
      <x:b/>
      <x:sz val="11"/>
      <x:color rgb="075985"/>
      <x:name val="Carlito"/>
    </x:font>
    <x:font>
      <x:b/>
      <x:sz val="18"/>
      <x:color rgb="334155"/>
      <x:name val="Carlito"/>
    </x:font>
    <x:font>
      <x:b/>
      <x:sz val="13"/>
      <x:color rgb="FFFFFF"/>
      <x:name val="Carlito"/>
    </x:font>
    <x:font>
      <x:b/>
      <x:sz val="11"/>
      <x:color rgb="111827"/>
      <x:name val="Carlito"/>
    </x:font>
    <x:font>
      <x:b/>
      <x:sz val="11"/>
      <x:color rgb="9A3412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1E3A8A"/>
      </x:patternFill>
    </x:fill>
    <x:fill>
      <x:patternFill patternType="solid">
        <x:fgColor rgb="0F766E"/>
      </x:patternFill>
    </x:fill>
    <x:fill>
      <x:patternFill patternType="solid">
        <x:fgColor rgb="DBEAFE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FEE2E2"/>
      </x:patternFill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0B2A61"/>
      </x:patternFill>
    </x:fill>
    <x:fill>
      <x:patternFill patternType="solid">
        <x:fgColor rgb="EAF3FF"/>
      </x:patternFill>
    </x:fill>
    <x:fill>
      <x:patternFill patternType="solid">
        <x:fgColor rgb="FFF7ED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1E3A8A"/>
      </x:patternFill>
    </x:fill>
    <x:fill>
      <x:patternFill patternType="solid">
        <x:fgColor rgb="E0F2FE"/>
      </x:patternFill>
    </x:fill>
  </x:fills>
  <x:borders count="11">
    <x:border/>
    <x:border/>
    <x:border>
      <x:left>
        <x:color rgb="64748B"/>
      </x:left>
      <x:right>
        <x:color rgb="CBD5E1"/>
      </x:right>
      <x:top>
        <x:color rgb="64748B"/>
      </x:top>
      <x:bottom>
        <x:color rgb="CBD5E1"/>
      </x:bottom>
    </x:border>
    <x:border>
      <x:left>
        <x:color rgb="CBD5E1"/>
      </x:left>
      <x:right>
        <x:color rgb="64748B"/>
      </x:right>
      <x:top>
        <x:color rgb="64748B"/>
      </x:top>
      <x:bottom>
        <x:color rgb="CBD5E1"/>
      </x:bottom>
    </x:border>
    <x:border>
      <x:left>
        <x:color rgb="64748B"/>
      </x:left>
      <x:right>
        <x:color rgb="CBD5E1"/>
      </x:right>
      <x:top>
        <x:color rgb="CBD5E1"/>
      </x:top>
      <x:bottom>
        <x:color rgb="64748B"/>
      </x:bottom>
    </x:border>
    <x:border>
      <x:left>
        <x:color rgb="CBD5E1"/>
      </x:left>
      <x:right>
        <x:color rgb="64748B"/>
      </x:right>
      <x:top>
        <x:color rgb="CBD5E1"/>
      </x:top>
      <x:bottom>
        <x:color rgb="64748B"/>
      </x:bottom>
    </x:border>
    <x:border>
      <x:left>
        <x:color rgb="CBD5E1"/>
      </x:left>
      <x:right>
        <x:color rgb="CBD5E1"/>
      </x:right>
      <x:top>
        <x:color rgb="64748B"/>
      </x:top>
      <x:bottom>
        <x:color rgb="CBD5E1"/>
      </x:bottom>
    </x:border>
    <x:border>
      <x:left>
        <x:color rgb="64748B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64748B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64748B"/>
      </x:bottom>
    </x:border>
  </x:borders>
  <x:cellStyleXfs count="1">
    <x:xf numFmtId="0" fontId="0" fillId="0" borderId="0"/>
  </x:cellStyleXfs>
  <x:cellXfs count="2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6" xfId="0" applyNumberFormat="1" applyFont="1" applyFill="1" applyBorder="1" applyAlignment="1">
      <x:alignment horizontal="center" vertical="center" wrapText="1"/>
    </x:xf>
    <x:xf numFmtId="0" fontId="6" fillId="9" borderId="3" xfId="0" applyNumberFormat="1" applyFont="1" applyFill="1" applyBorder="1" applyAlignment="1">
      <x:alignment horizontal="center" vertical="center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6" fillId="9" borderId="8" xfId="0" applyNumberFormat="1" applyFont="1" applyFill="1" applyBorder="1" applyAlignment="1">
      <x:alignment horizontal="center" vertical="center" wrapText="1"/>
    </x:xf>
    <x:xf numFmtId="0" fontId="6" fillId="9" borderId="9" xfId="0" applyNumberFormat="1" applyFont="1" applyFill="1" applyBorder="1" applyAlignment="1">
      <x:alignment horizontal="center" vertic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10" xfId="0" applyNumberFormat="1" applyFont="1" applyFill="1" applyBorder="1" applyAlignment="1">
      <x:alignment horizontal="center" vertical="center" wrapText="1"/>
    </x:xf>
    <x:xf numFmtId="0" fontId="6" fillId="9" borderId="5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2" xfId="0" applyNumberFormat="1" applyFont="1" applyFill="1" applyBorder="1" applyAlignment="1">
      <x:alignment horizontal="center" vertical="center" wrapText="1"/>
    </x:xf>
    <x:xf numFmtId="0" fontId="7" fillId="10" borderId="6" xfId="0" applyNumberFormat="1" applyFont="1" applyFill="1" applyBorder="1" applyAlignment="1">
      <x:alignment horizontal="center" vertical="center" wrapText="1"/>
    </x:xf>
    <x:xf numFmtId="0" fontId="7" fillId="10" borderId="3" xfId="0" applyNumberFormat="1" applyFont="1" applyFill="1" applyBorder="1" applyAlignment="1">
      <x:alignment horizontal="center" vertical="center" wrapText="1"/>
    </x:xf>
    <x:xf numFmtId="0" fontId="7" fillId="10" borderId="4" xfId="0" applyNumberFormat="1" applyFont="1" applyFill="1" applyBorder="1" applyAlignment="1">
      <x:alignment horizontal="center" vertical="center" wrapText="1"/>
    </x:xf>
    <x:xf numFmtId="0" fontId="7" fillId="10" borderId="10" xfId="0" applyNumberFormat="1" applyFont="1" applyFill="1" applyBorder="1" applyAlignment="1">
      <x:alignment horizontal="center" vertical="center" wrapText="1"/>
    </x:xf>
    <x:xf numFmtId="0" fontId="7" fillId="10" borderId="5" xfId="0" applyNumberFormat="1" applyFont="1" applyFill="1" applyBorder="1" applyAlignment="1">
      <x:alignment horizontal="center" vertical="center" wrapText="1"/>
    </x:xf>
    <x:xf numFmtId="0" fontId="7" fillId="10" borderId="7" xfId="0" applyNumberFormat="1" applyFont="1" applyFill="1" applyBorder="1" applyAlignment="1">
      <x:alignment horizontal="center" vertical="center" wrapText="1"/>
    </x:xf>
    <x:xf numFmtId="0" fontId="7" fillId="10" borderId="9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top" wrapText="1"/>
    </x:xf>
    <x:xf numFmtId="0" fontId="9" fillId="11" borderId="2" xfId="0" applyNumberFormat="1" applyFont="1" applyFill="1" applyBorder="1" applyAlignment="1">
      <x:alignment horizontal="center"/>
    </x:xf>
    <x:xf numFmtId="0" fontId="10" fillId="12" borderId="6" xfId="0" applyNumberFormat="1" applyFont="1" applyFill="1" applyBorder="1" applyAlignment="1">
      <x:alignment vertical="top" wrapText="1"/>
    </x:xf>
    <x:xf numFmtId="0" fontId="10" fillId="12" borderId="3" xfId="0" applyNumberFormat="1" applyFont="1" applyFill="1" applyBorder="1" applyAlignment="1">
      <x:alignment vertical="top" wrapText="1"/>
    </x:xf>
    <x:xf numFmtId="0" fontId="9" fillId="11" borderId="7" xfId="0" applyNumberFormat="1" applyFont="1" applyFill="1" applyBorder="1" applyAlignment="1">
      <x:alignment horizontal="center"/>
    </x:xf>
    <x:xf numFmtId="0" fontId="10" fillId="12" borderId="8" xfId="0" applyNumberFormat="1" applyFont="1" applyFill="1" applyBorder="1" applyAlignment="1">
      <x:alignment vertical="top" wrapText="1"/>
    </x:xf>
    <x:xf numFmtId="0" fontId="10" fillId="12" borderId="9" xfId="0" applyNumberFormat="1" applyFont="1" applyFill="1" applyBorder="1" applyAlignment="1">
      <x:alignment vertical="top" wrapText="1"/>
    </x:xf>
    <x:xf numFmtId="0" fontId="9" fillId="11" borderId="4" xfId="0" applyNumberFormat="1" applyFont="1" applyFill="1" applyBorder="1" applyAlignment="1">
      <x:alignment horizontal="center"/>
    </x:xf>
    <x:xf numFmtId="0" fontId="10" fillId="12" borderId="10" xfId="0" applyNumberFormat="1" applyFont="1" applyFill="1" applyBorder="1" applyAlignment="1">
      <x:alignment vertical="top" wrapText="1"/>
    </x:xf>
    <x:xf numFmtId="0" fontId="10" fillId="12" borderId="5" xfId="0" applyNumberFormat="1" applyFont="1" applyFill="1" applyBorder="1" applyAlignment="1">
      <x:alignment vertical="top" wrapText="1"/>
    </x:xf>
    <x:xf numFmtId="0" fontId="10" fillId="12" borderId="2" xfId="0" applyNumberFormat="1" applyFont="1" applyFill="1" applyBorder="1" applyAlignment="1">
      <x:alignment vertical="top" wrapText="1"/>
    </x:xf>
    <x:xf numFmtId="0" fontId="10" fillId="12" borderId="7" xfId="0" applyNumberFormat="1" applyFont="1" applyFill="1" applyBorder="1" applyAlignment="1">
      <x:alignment vertical="top" wrapText="1"/>
    </x:xf>
    <x:xf numFmtId="0" fontId="10" fillId="12" borderId="4" xfId="0" applyNumberFormat="1" applyFont="1" applyFill="1" applyBorder="1" applyAlignment="1">
      <x:alignment vertical="top" wrapText="1"/>
    </x:xf>
    <x:xf numFmtId="0" fontId="10" fillId="11" borderId="2" xfId="0" applyNumberFormat="1" applyFont="1" applyFill="1" applyBorder="1" applyAlignment="1">
      <x:alignment vertical="top" wrapText="1"/>
    </x:xf>
    <x:xf numFmtId="0" fontId="10" fillId="11" borderId="7" xfId="0" applyNumberFormat="1" applyFont="1" applyFill="1" applyBorder="1" applyAlignment="1">
      <x:alignment vertical="top" wrapText="1"/>
    </x:xf>
    <x:xf numFmtId="0" fontId="10" fillId="11" borderId="4" xfId="0" applyNumberFormat="1" applyFont="1" applyFill="1" applyBorder="1" applyAlignment="1">
      <x:alignment vertical="top" wrapText="1"/>
    </x:xf>
    <x:xf numFmtId="0" fontId="11" fillId="11" borderId="2" xfId="0" applyNumberFormat="1" applyFont="1" applyFill="1" applyBorder="1" applyAlignment="1">
      <x:alignment vertical="top" wrapText="1"/>
    </x:xf>
    <x:xf numFmtId="0" fontId="11" fillId="11" borderId="7" xfId="0" applyNumberFormat="1" applyFont="1" applyFill="1" applyBorder="1" applyAlignment="1">
      <x:alignment vertical="top" wrapText="1"/>
    </x:xf>
    <x:xf numFmtId="0" fontId="11" fillId="11" borderId="4" xfId="0" applyNumberFormat="1" applyFont="1" applyFill="1" applyBorder="1" applyAlignment="1">
      <x:alignment vertical="top" wrapText="1"/>
    </x:xf>
    <x:xf numFmtId="0" fontId="10" fillId="9" borderId="3" xfId="0" applyNumberFormat="1" applyFont="1" applyFill="1" applyBorder="1" applyAlignment="1">
      <x:alignment vertical="top" wrapText="1"/>
    </x:xf>
    <x:xf numFmtId="0" fontId="10" fillId="9" borderId="9" xfId="0" applyNumberFormat="1" applyFont="1" applyFill="1" applyBorder="1" applyAlignment="1">
      <x:alignment vertical="top" wrapText="1"/>
    </x:xf>
    <x:xf numFmtId="0" fontId="10" fillId="9" borderId="5" xfId="0" applyNumberFormat="1" applyFont="1" applyFill="1" applyBorder="1" applyAlignment="1">
      <x:alignment vertical="top" wrapText="1"/>
    </x:xf>
    <x:xf numFmtId="0" fontId="6" fillId="9" borderId="3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vertical="top" wrapText="1"/>
    </x:xf>
    <x:xf numFmtId="0" fontId="6" fillId="9" borderId="3" xfId="0" applyNumberFormat="1" applyFont="1" applyFill="1" applyBorder="1" applyAlignment="1">
      <x:alignment horizontal="center" vertical="top" wrapText="1"/>
    </x:xf>
    <x:xf numFmtId="0" fontId="6" fillId="9" borderId="9" xfId="0" applyNumberFormat="1" applyFont="1" applyFill="1" applyBorder="1" applyAlignment="1">
      <x:alignment horizontal="center" vertical="top" wrapText="1"/>
    </x:xf>
    <x:xf numFmtId="0" fontId="6" fillId="9" borderId="5" xfId="0" applyNumberFormat="1" applyFont="1" applyFill="1" applyBorder="1" applyAlignment="1">
      <x:alignment horizontal="center" vertical="top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5" fillId="8" borderId="9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/>
    </x:xf>
    <x:xf numFmtId="0" fontId="0" fillId="11" borderId="0" xfId="0" applyNumberFormat="1" applyFont="1" applyFill="1" applyBorder="1" applyAlignment="1">
      <x:alignment vertical="top"/>
    </x:xf>
    <x:xf numFmtId="0" fontId="11" fillId="11" borderId="0" xfId="0" applyNumberFormat="1" applyFont="1" applyFill="1" applyBorder="1" applyAlignment="1">
      <x:alignment vertical="top"/>
    </x:xf>
    <x:xf numFmtId="0" fontId="1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/>
    </x:xf>
    <x:xf numFmtId="0" fontId="10" fillId="12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1" fillId="13" borderId="0" xfId="0" applyNumberFormat="1" applyFont="1" applyFill="1" applyBorder="1" applyAlignment="1">
      <x:alignment horizontal="left" vertical="top"/>
    </x:xf>
    <x:xf numFmtId="0" fontId="13" fillId="13" borderId="0" xfId="0" applyNumberFormat="1" applyFont="1" applyFill="1" applyBorder="1" applyAlignment="1">
      <x:alignment horizontal="left" vertical="top"/>
    </x:xf>
    <x:xf numFmtId="0" fontId="13" fillId="13" borderId="0" xfId="0" applyNumberFormat="1" applyFont="1" applyFill="1" applyBorder="1" applyAlignment="1">
      <x:alignment horizontal="center" vertical="top"/>
    </x:xf>
    <x:xf numFmtId="0" fontId="13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horizontal="center"/>
    </x:xf>
    <x:xf numFmtId="0" fontId="14" fillId="14" borderId="0" xfId="0" applyNumberFormat="1" applyFont="1" applyFill="1" applyBorder="1" applyAlignment="1">
      <x:alignment horizontal="center" vertical="center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horizontal="left"/>
    </x:xf>
    <x:xf numFmtId="0" fontId="15" fillId="15" borderId="0" xfId="0" applyNumberFormat="1" applyFont="1" applyFill="1" applyBorder="1" applyAlignment="1">
      <x:alignment horizontal="left" vertical="center"/>
    </x:xf>
    <x:xf numFmtId="0" fontId="14" fillId="14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horizontal="left" vertical="top"/>
    </x:xf>
    <x:xf numFmtId="0" fontId="0" fillId="18" borderId="0" xfId="0" applyNumberFormat="1" applyFont="1" applyFill="1" applyBorder="1" applyAlignment="1">
      <x:alignment vertical="top"/>
    </x:xf>
    <x:xf numFmtId="0" fontId="3" fillId="18" borderId="0" xfId="0" applyNumberFormat="1" applyFont="1" applyFill="1" applyBorder="1" applyAlignment="1">
      <x:alignment vertical="top"/>
    </x:xf>
    <x:xf numFmtId="0" fontId="1" fillId="18" borderId="0" xfId="0" applyNumberFormat="1" applyFont="1" applyFill="1" applyBorder="1" applyAlignment="1">
      <x:alignment horizontal="left" vertical="top" wrapText="1"/>
    </x:xf>
    <x:xf numFmtId="0" fontId="3" fillId="18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horizontal="center" vertical="top" wrapText="1"/>
    </x:xf>
    <x:xf numFmtId="0" fontId="3" fillId="18" borderId="0" xfId="0" applyNumberFormat="1" applyFont="1" applyFill="1" applyBorder="1" applyAlignment="1">
      <x:alignment horizontal="center" vertical="top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201" fontId="0" fillId="16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17f03d6d74f24" /><Relationship Type="http://schemas.openxmlformats.org/officeDocument/2006/relationships/theme" Target="/xl/theme/theme1.xml" Id="Rd51561a50a654424" /><Relationship Type="http://schemas.openxmlformats.org/officeDocument/2006/relationships/sharedStrings" Target="/xl/sharedStrings.xml" Id="Rc9b4c9b52c1e4b48" /><Relationship Type="http://schemas.openxmlformats.org/officeDocument/2006/relationships/worksheet" Target="/xl/worksheets/sheet1.xml" Id="Rbad7400ba7ba4543" /><Relationship Type="http://schemas.openxmlformats.org/officeDocument/2006/relationships/worksheet" Target="/xl/worksheets/sheet2.xml" Id="Re768073a3a5e44ad" /><Relationship Type="http://schemas.openxmlformats.org/officeDocument/2006/relationships/worksheet" Target="/xl/worksheets/sheet3.xml" Id="R8e80d155a7894a3c" /><Relationship Type="http://schemas.openxmlformats.org/officeDocument/2006/relationships/worksheet" Target="/xl/worksheets/sheet4.xml" Id="Rc9d806c65c3943eb" /><Relationship Type="http://schemas.openxmlformats.org/officeDocument/2006/relationships/worksheet" Target="/xl/worksheets/sheet5.xml" Id="Rdd60843e88554859" /><Relationship Type="http://schemas.openxmlformats.org/officeDocument/2006/relationships/worksheet" Target="/xl/worksheets/sheet6.xml" Id="Rf9fca5ef8d3d47e0" /><Relationship Type="http://schemas.openxmlformats.org/officeDocument/2006/relationships/worksheet" Target="/xl/worksheets/sheet7.xml" Id="Rf934c577e83f4c20" /><Relationship Type="http://schemas.openxmlformats.org/officeDocument/2006/relationships/worksheet" Target="/xl/worksheets/sheet8.xml" Id="R6af0d6e30202463f" /><Relationship Type="http://schemas.openxmlformats.org/officeDocument/2006/relationships/worksheet" Target="/xl/worksheets/sheet9.xml" Id="R849f0fd2289840ed" /><Relationship Type="http://schemas.openxmlformats.org/officeDocument/2006/relationships/worksheet" Target="/xl/worksheets/sheet10.xml" Id="R66624927fe54404b" /><Relationship Type="http://schemas.openxmlformats.org/officeDocument/2006/relationships/worksheet" Target="/xl/worksheets/sheet11.xml" Id="R828ee6968a9f4189" /><Relationship Type="http://schemas.openxmlformats.org/officeDocument/2006/relationships/worksheet" Target="/xl/worksheets/sheet12.xml" Id="R0549ae83c29f4ba4" /><Relationship Type="http://schemas.openxmlformats.org/officeDocument/2006/relationships/worksheet" Target="/xl/worksheets/sheet13.xml" Id="R16f1649c322540d0" /><Relationship Type="http://schemas.openxmlformats.org/officeDocument/2006/relationships/worksheet" Target="/xl/worksheets/sheet14.xml" Id="Red86ae5bed224e4d" /><Relationship Type="http://schemas.openxmlformats.org/officeDocument/2006/relationships/worksheet" Target="/xl/worksheets/sheet15.xml" Id="R334837770b0545ce" /><Relationship Type="http://schemas.openxmlformats.org/officeDocument/2006/relationships/worksheet" Target="/xl/worksheets/sheet16.xml" Id="R8dea577e1b9e43e4" /><Relationship Type="http://schemas.openxmlformats.org/officeDocument/2006/relationships/worksheet" Target="/xl/worksheets/sheet17.xml" Id="R31d19b1d11944ba6" /><Relationship Type="http://schemas.openxmlformats.org/officeDocument/2006/relationships/worksheet" Target="/xl/worksheets/sheet18.xml" Id="Rd7ccc041c56849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fe32efba294403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e78631acb0b478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2573000" cy="83820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e32efba29440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2573000" cy="83820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78631acb0b47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d5f65d2aeb82409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2.xml" Id="Rcf26eb850fe64bc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42" hidden="0" customWidth="1"/>
    <x:col min="4" max="4" width="16" hidden="0" customWidth="1"/>
    <x:col min="5" max="5" width="14" hidden="0" customWidth="1"/>
    <x:col min="6" max="6" width="14" hidden="0" customWidth="1"/>
    <x:col min="7" max="7" width="22" hidden="0" customWidth="1"/>
    <x:col min="8" max="8" width="30" hidden="0" customWidth="1"/>
  </x:cols>
  <x:sheetData>
    <x:row r="1">
      <x:c r="A1" s="38" t="str">
        <x:v>MANET Emergency Messaging Prototype - Dashboard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0" t="str">
        <x:v>Total Steps</x:v>
      </x:c>
      <x:c r="B3" s="39" t="n">
        <x:f>COUNTA('Detailed Steps'!A2:A200)</x:f>
        <x:v>31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0" t="str">
        <x:v>Done</x:v>
      </x:c>
      <x:c r="B4" s="39" t="n">
        <x:f>COUNTIF('Detailed Steps'!F2:F200,"Done")</x:f>
        <x:v>0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0" t="str">
        <x:v>In Progress</x:v>
      </x:c>
      <x:c r="B5" s="39" t="n">
        <x:f>COUNTIF('Detailed Steps'!F2:F200,"In Progress")</x:f>
        <x:v>1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0" t="str">
        <x:v>Blocked</x:v>
      </x:c>
      <x:c r="B6" s="39" t="n">
        <x:f>COUNTIF('Detailed Steps'!F2:F200,"Blocked")</x:f>
        <x:v>0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0" t="str">
        <x:v>Not Started</x:v>
      </x:c>
      <x:c r="B7" s="39" t="n">
        <x:f>COUNTIF('Detailed Steps'!F2:F200,"Not Started")</x:f>
        <x:v>20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0" t="str">
        <x:v>Completion</x:v>
      </x:c>
      <x:c r="B8" s="41" t="n">
        <x:f>IF(B3=0,0,B4/B3)</x:f>
        <x:v>0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0" t="str">
        <x:v>Current Stage</x:v>
      </x:c>
      <x:c r="B9" s="39" t="str">
        <x:f>IFERROR(INDEX('Detailed Steps'!B2:B200,MATCH("In Progress",'Detailed Steps'!F2:F200,0)),"Set first active step")</x:f>
        <x:v>2 ESP32</x:v>
      </x:c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0" t="str">
        <x:v>Next Action</x:v>
      </x:c>
      <x:c r="B10" s="39" t="str">
        <x:f>IFERROR(INDEX('Detailed Steps'!D2:D200,MATCH("In Progress",'Detailed Steps'!F2:F200,0)),"Mark next step In Progress")</x:f>
        <x:v>Create ESP32 PlatformIO project with SX1278 library and node config</x:v>
      </x:c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0" t="str">
        <x:v>Recommended Current Architecture</x:v>
      </x:c>
      <x:c r="B12" s="39" t="str"/>
      <x:c r="C12" s="39" t="str"/>
      <x:c r="D12" s="39" t="str"/>
      <x:c r="E12" s="39" t="str"/>
      <x:c r="F12" s="39" t="str"/>
      <x:c r="G12" s="39" t="str"/>
      <x:c r="H12" s="39" t="str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2" t="str">
        <x:v>Layer</x:v>
      </x:c>
      <x:c r="B13" s="42" t="str">
        <x:v>Recommended Implementation</x:v>
      </x:c>
      <x:c r="C13" s="42" t="str">
        <x:v>Reason</x:v>
      </x:c>
      <x:c r="D13" s="42" t="str">
        <x:v>Status</x:v>
      </x:c>
      <x:c r="E13" s="42" t="str">
        <x:v>Owner</x:v>
      </x:c>
      <x:c r="F13" s="42" t="str">
        <x:v>Date</x:v>
      </x:c>
      <x:c r="G13" s="42" t="str">
        <x:v>Evidence</x:v>
      </x:c>
      <x:c r="H13" s="42" t="str">
        <x:v>Notes</x:v>
      </x:c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 t="str">
        <x:v>User App</x:v>
      </x:c>
      <x:c r="B14" s="43" t="str">
        <x:v>Android app later; web dashboard first</x:v>
      </x:c>
      <x:c r="C14" s="43" t="str">
        <x:v>Avoids mobile complexity before backend and protocol are stable</x:v>
      </x:c>
      <x:c r="D14" s="43" t="str">
        <x:v>Planned</x:v>
      </x:c>
      <x:c r="E14" s="43" t="str"/>
      <x:c r="F14" s="43" t="str"/>
      <x:c r="G14" s="43" t="str"/>
      <x:c r="H14" s="43" t="str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 t="str">
        <x:v>Gateway</x:v>
      </x:c>
      <x:c r="B15" s="43" t="str">
        <x:v>Raspberry Pi 3B + directly wired LoRa module</x:v>
      </x:c>
      <x:c r="C15" s="43" t="str">
        <x:v>Matches user choice and enables local routing/failover logic</x:v>
      </x:c>
      <x:c r="D15" s="43" t="str">
        <x:v>Planned</x:v>
      </x:c>
      <x:c r="E15" s="43" t="str"/>
      <x:c r="F15" s="43" t="str"/>
      <x:c r="G15" s="43" t="str"/>
      <x:c r="H15" s="43" t="str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 t="str">
        <x:v>MANET Node</x:v>
      </x:c>
      <x:c r="B16" s="43" t="str">
        <x:v>ESP32 + SX1278 Ra-02 433 MHz</x:v>
      </x:c>
      <x:c r="C16" s="43" t="str">
        <x:v>Available hardware; good for prototype</x:v>
      </x:c>
      <x:c r="D16" s="43" t="str">
        <x:v>Planned</x:v>
      </x:c>
      <x:c r="E16" s="43" t="str"/>
      <x:c r="F16" s="43" t="str"/>
      <x:c r="G16" s="43" t="str"/>
      <x:c r="H16" s="43" t="str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 t="str">
        <x:v>Satellite Simulation</x:v>
      </x:c>
      <x:c r="B17" s="43" t="str">
        <x:v>Two 2.4 GHz WiFi routers connected wirelessly; latency simulated on Pi</x:v>
      </x:c>
      <x:c r="C17" s="43" t="str">
        <x:v>Practical simulation of LEO path without Starlink</x:v>
      </x:c>
      <x:c r="D17" s="43" t="str">
        <x:v>Planned</x:v>
      </x:c>
      <x:c r="E17" s="43" t="str"/>
      <x:c r="F17" s="43" t="str"/>
      <x:c r="G17" s="43" t="str"/>
      <x:c r="H17" s="43" t="str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 t="str">
        <x:v>Routing</x:v>
      </x:c>
      <x:c r="B18" s="43" t="str">
        <x:v>Reliable controlled mesh now; AODV-like later</x:v>
      </x:c>
      <x:c r="C18" s="43" t="str">
        <x:v>Lower risk and easier debugging</x:v>
      </x:c>
      <x:c r="D18" s="43" t="str">
        <x:v>Planned</x:v>
      </x:c>
      <x:c r="E18" s="43" t="str"/>
      <x:c r="F18" s="43" t="str"/>
      <x:c r="G18" s="43" t="str"/>
      <x:c r="H18" s="43" t="str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165" t="str">
        <x:v>Current Design Update</x:v>
      </x:c>
      <x:c r="B20"/>
      <x:c r="C20"/>
      <x:c r="D20"/>
      <x:c r="E20"/>
      <x:c r="F20"/>
      <x:c r="G20"/>
      <x:c r="H20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178" t="str">
        <x:v>Diagrams and workbook logic updated to prioritize the DOCX test campaign. Development should start with simulation, then ESP32 PlatformIO LoRa firmware, Raspberry Pi gateway services, and Android app.</x:v>
      </x:c>
      <x:c r="B21"/>
      <x:c r="C21"/>
      <x:c r="D21"/>
      <x:c r="E21"/>
      <x:c r="F21"/>
      <x:c r="G21"/>
      <x:c r="H21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/>
      <x:c r="B22"/>
      <x:c r="C22"/>
      <x:c r="D22"/>
      <x:c r="E22"/>
      <x:c r="F22"/>
      <x:c r="G22"/>
      <x:c r="H22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  <x:mergeCell ref="A12:H12"/>
    <x:mergeCell ref="A20:H20"/>
    <x:mergeCell ref="A21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8" t="str">
        <x:v>PUP MANET Implementation Workbook / Plan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0" t="str">
        <x:v>Purpose</x:v>
      </x:c>
      <x:c r="B3" s="43" t="str">
        <x:v>This workbook is the working implementation tracker for the low-cost emergency messaging MANET prototype. Update it after every completed step so a new chat can continue from the workbook.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0" t="str">
        <x:v>Project Basis</x:v>
      </x:c>
      <x:c r="B4" s="43" t="str">
        <x:v>MANET_UPdated.docx objectives: 6 MANET nodes total, ESP32 + SX1278 Ra-02 433 MHz, Raspberry Pi 3B gateway, WiFi router simulated LEO-satellite path, RSSI/SNR/hop/battery monitoring, reliable messaging, adaptive failover.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0" t="str">
        <x:v>Implementation Order</x:v>
      </x:c>
      <x:c r="B5" s="43" t="str">
        <x:v>1) Simulation first. 2) ESP32 PlatformIO firmware. 3) Raspberry Pi gateway software. 4) Android messaging/chat app. 5) Full integrated testing.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0" t="str">
        <x:v>Important Design Decision</x:v>
      </x:c>
      <x:c r="B6" s="43" t="str">
        <x:v>Start with a controlled reliable LoRa mesh protocol instead of full AODV. Add AODV-like route discovery later after baseline messaging is stable.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0" t="str">
        <x:v>Source References</x:v>
      </x:c>
      <x:c r="B7" s="43" t="str">
        <x:v>Project document: MANET_UPdated.docx. Frequency reference: Meshtastic LoRa region table for PH_433/PH_868/PH_915. Regulatory caution: NTC SRD rules/non-interference basis.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0" t="str">
        <x:v>How to Use</x:v>
      </x:c>
      <x:c r="B8" s="43" t="str">
        <x:v>Complete one step at a time. Mark Status as Done only after validation passes. Fill Actual Result, Evidence, Date Completed, and Notes.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5" hidden="0" customWidth="1"/>
    <x:col min="4" max="4" width="18" hidden="0" customWidth="1"/>
    <x:col min="5" max="5" width="15" hidden="0" customWidth="1"/>
    <x:col min="6" max="6" width="18" hidden="0" customWidth="1"/>
    <x:col min="7" max="7" width="16" hidden="0" customWidth="1"/>
    <x:col min="8" max="8" width="24" hidden="0" customWidth="1"/>
  </x:cols>
  <x:sheetData>
    <x:row r="1">
      <x:c r="A1" s="170" t="str">
        <x:v>PUP MANET Test-Aligned Architecture Summary</x:v>
      </x:c>
      <x:c r="B1" s="43"/>
      <x:c r="C1" s="43"/>
      <x:c r="D1" s="43"/>
      <x:c r="E1" s="43"/>
      <x:c r="F1" s="43"/>
      <x:c r="G1" s="43"/>
      <x:c r="H1" s="43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69" t="str">
        <x:v>Item</x:v>
      </x:c>
      <x:c r="B3" s="169" t="str">
        <x:v>Updated Test-Aligned Decision</x:v>
      </x:c>
      <x:c r="C3" s="169" t="str">
        <x:v>Reason / Acceptance Link</x:v>
      </x:c>
      <x:c r="D3" s="169" t="str">
        <x:v>Status</x:v>
      </x:c>
      <x:c r="E3" s="169" t="str">
        <x:v>Owner</x:v>
      </x:c>
      <x:c r="F3" s="169" t="str">
        <x:v>Evidence</x:v>
      </x:c>
      <x:c r="G3" s="169" t="str">
        <x:v>Date Completed</x:v>
      </x:c>
      <x:c r="H3" s="169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t="str">
        <x:v>Primary validated path</x:v>
      </x:c>
      <x:c r="B4" t="str">
        <x:v>Android App → Bluetooth → ESP32 LoRa Node → LoRa MANET → Raspberry Pi Gateway → WiFi-router simulated satellite → Remote Gateway → LoRa MANET → Bluetooth → Android App</x:v>
      </x:c>
      <x:c r="C4" t="str">
        <x:v>Directly exercises baseline, failover, store-forward, recovery, and end-to-end delivery tests.</x:v>
      </x:c>
      <x:c r="D4" t="str">
        <x:v>Approved for Phase 1</x:v>
      </x:c>
      <x:c r="E4" t="str"/>
      <x:c r="F4" t="str"/>
      <x:c r="G4" t="str"/>
      <x:c r="H4" t="str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t="str">
        <x:v>Node pairing</x:v>
      </x:c>
      <x:c r="B5" t="str">
        <x:v>Each MANET node is paired to one Android phone over Bluetooth.</x:v>
      </x:c>
      <x:c r="C5" t="str">
        <x:v>Ensures Android messaging app can still inject messages to LoRa when WiFi/GSM are unavailable.</x:v>
      </x:c>
      <x:c r="D5" t="str">
        <x:v>Approved</x:v>
      </x:c>
      <x:c r="E5" t="str"/>
      <x:c r="F5" t="str"/>
      <x:c r="G5" t="str"/>
      <x:c r="H5" t="str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t="str">
        <x:v>Manual network selection</x:v>
      </x:c>
      <x:c r="B6" t="str">
        <x:v>Android app shall support Auto, LoRa, WiFi, and GSM selection.</x:v>
      </x:c>
      <x:c r="C6" t="str">
        <x:v>Extra feature allowed but must not interfere with DOCX validation path.</x:v>
      </x:c>
      <x:c r="D6" t="str">
        <x:v>Approved</x:v>
      </x:c>
      <x:c r="E6" t="str"/>
      <x:c r="F6" t="str"/>
      <x:c r="G6" t="str"/>
      <x:c r="H6" t="str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t="str">
        <x:v>Auto mode behavior</x:v>
      </x:c>
      <x:c r="B7" t="str">
        <x:v>Auto mode checks WiFi, GSM, and Bluetooth/LoRa availability, then selects best available route.</x:v>
      </x:c>
      <x:c r="C7" t="str">
        <x:v>Allows failover decisions while preserving manual test control.</x:v>
      </x:c>
      <x:c r="D7" t="str">
        <x:v>Approved</x:v>
      </x:c>
      <x:c r="E7" t="str"/>
      <x:c r="F7" t="str"/>
      <x:c r="G7" t="str"/>
      <x:c r="H7" t="str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t="str">
        <x:v>Failover trigger</x:v>
      </x:c>
      <x:c r="B8" t="str">
        <x:v>RSSI below -78 dBm for 10 seconds OR route/ACK timeout triggers failover to simulated satellite path.</x:v>
      </x:c>
      <x:c r="C8" t="str">
        <x:v>Matches network degradation and failover activation procedures.</x:v>
      </x:c>
      <x:c r="D8" t="str">
        <x:v>Approved</x:v>
      </x:c>
      <x:c r="E8" t="str"/>
      <x:c r="F8" t="str"/>
      <x:c r="G8" t="str"/>
      <x:c r="H8" t="str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t="str">
        <x:v>Recovery trigger</x:v>
      </x:c>
      <x:c r="B9" t="str">
        <x:v>Primary MANET route stable for 10 seconds triggers return to MANET; target switchback ≤5 seconds.</x:v>
      </x:c>
      <x:c r="C9" t="str">
        <x:v>Matches recovery/reversion test procedure.</x:v>
      </x:c>
      <x:c r="D9" t="str">
        <x:v>Approved</x:v>
      </x:c>
      <x:c r="E9" t="str"/>
      <x:c r="F9" t="str"/>
      <x:c r="G9" t="str"/>
      <x:c r="H9" t="str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t="str">
        <x:v>Message not found locally</x:v>
      </x:c>
      <x:c r="B10" t="str">
        <x:v>If destination is not in current MANET network, gateway forwards message to next network through simulated satellite path.</x:v>
      </x:c>
      <x:c r="C10" t="str">
        <x:v>Implements cross-network routing requirement.</x:v>
      </x:c>
      <x:c r="D10" t="str">
        <x:v>Approved</x:v>
      </x:c>
      <x:c r="E10" t="str"/>
      <x:c r="F10" t="str"/>
      <x:c r="G10" t="str"/>
      <x:c r="H10" t="str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t="str">
        <x:v>Simulation first</x:v>
      </x:c>
      <x:c r="B11" t="str">
        <x:v>All code shall include simulation mode before physical LoRa validation.</x:v>
      </x:c>
      <x:c r="C11" t="str">
        <x:v>Allows controlled testing of RSSI/SNR/latency/failover without risking hardware delays.</x:v>
      </x:c>
      <x:c r="D11" t="str">
        <x:v>Approved</x:v>
      </x:c>
      <x:c r="E11" t="str"/>
      <x:c r="F11" t="str"/>
      <x:c r="G11" t="str"/>
      <x:c r="H11" t="str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/>
      <x:c r="B12"/>
      <x:c r="C12"/>
      <x:c r="D12"/>
      <x:c r="E12"/>
      <x:c r="F12"/>
      <x:c r="G12"/>
      <x:c r="H12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32" t="str">
        <x:v>Development Order</x:v>
      </x:c>
      <x:c r="B13" s="122" t="str">
        <x:v>Simulation → ESP32 PlatformIO code → Raspberry Pi gateway code → Android chat app.</x:v>
      </x:c>
      <x:c r="C13" s="122" t="str"/>
      <x:c r="D13" s="122" t="str"/>
      <x:c r="E13" s="122" t="str"/>
      <x:c r="F13" s="122" t="str"/>
      <x:c r="G13" s="122" t="str"/>
      <x:c r="H13" s="123" t="str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  <x:mergeCell ref="A10:H10"/>
    <x:mergeCell ref="B11:H11"/>
    <x:mergeCell ref="B12:H12"/>
    <x:mergeCell ref="B13:H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5" hidden="0" customWidth="1"/>
    <x:col min="4" max="4" width="36" hidden="0" customWidth="1"/>
    <x:col min="5" max="5" width="36" hidden="0" customWidth="1"/>
    <x:col min="6" max="6" width="42" hidden="0" customWidth="1"/>
    <x:col min="7" max="7" width="24" hidden="0" customWidth="1"/>
    <x:col min="8" max="8" width="16" hidden="0" customWidth="1"/>
    <x:col min="9" max="9" width="42" hidden="0" customWidth="1"/>
  </x:cols>
  <x:sheetData>
    <x:row r="1">
      <x:c r="A1" s="38" t="str">
        <x:v>Staged Implementation Plan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Phase</x:v>
      </x:c>
      <x:c r="B3" s="42" t="str">
        <x:v>Name</x:v>
      </x:c>
      <x:c r="C3" s="42" t="str">
        <x:v>Goal</x:v>
      </x:c>
      <x:c r="D3" s="42" t="str">
        <x:v>Primary Output</x:v>
      </x:c>
      <x:c r="E3" s="42" t="str">
        <x:v>Entry Criteria</x:v>
      </x:c>
      <x:c r="F3" s="42" t="str">
        <x:v>Exit Criteria</x:v>
      </x:c>
      <x:c r="G3" s="42" t="str">
        <x:v>Main Tools</x:v>
      </x:c>
      <x:c r="H3" s="42" t="str">
        <x:v>Status</x:v>
      </x:c>
      <x:c r="I3" s="42" t="str">
        <x:v>Notes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0</x:v>
      </x:c>
      <x:c r="B4" s="43" t="str">
        <x:v>Project Baseline</x:v>
      </x:c>
      <x:c r="C4" s="43" t="str">
        <x:v>Finalize architecture and workbook</x:v>
      </x:c>
      <x:c r="D4" s="43" t="str">
        <x:v>Approved workbook and topology</x:v>
      </x:c>
      <x:c r="E4" s="43" t="str">
        <x:v>User confirms direction</x:v>
      </x:c>
      <x:c r="F4" s="43" t="str">
        <x:v>Workbook ready and first active step chosen</x:v>
      </x:c>
      <x:c r="G4" s="43" t="str">
        <x:v>Excel/ChatGPT</x:v>
      </x:c>
      <x:c r="H4" s="43" t="str">
        <x:v>In Progress</x:v>
      </x:c>
      <x:c r="I4" s="43" t="str">
        <x:v>This file is the baseline plan.</x:v>
      </x:c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1</x:v>
      </x:c>
      <x:c r="B5" s="43" t="str">
        <x:v>Simulation Core</x:v>
      </x:c>
      <x:c r="C5" s="43" t="str">
        <x:v>Simulate 6 nodes and 2 gateways on Mac/Pi</x:v>
      </x:c>
      <x:c r="D5" s="43" t="str">
        <x:v>Python simulator with routing/failover logs</x:v>
      </x:c>
      <x:c r="E5" s="43" t="str">
        <x:v>Workbook approved</x:v>
      </x:c>
      <x:c r="F5" s="43" t="str">
        <x:v>Message routing between Network A and B simulated</x:v>
      </x:c>
      <x:c r="G5" s="43" t="str">
        <x:v>VS Code, Python</x:v>
      </x:c>
      <x:c r="H5" s="43" t="str">
        <x:v>Not Started</x:v>
      </x:c>
      <x:c r="I5" s="43" t="str">
        <x:v>No hardware needed yet.</x:v>
      </x:c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2</x:v>
      </x:c>
      <x:c r="B6" s="43" t="str">
        <x:v>ESP32 LoRa Firmware</x:v>
      </x:c>
      <x:c r="C6" s="43" t="str">
        <x:v>Build PlatformIO firmware for LoRa messaging</x:v>
      </x:c>
      <x:c r="D6" s="43" t="str">
        <x:v>Firmware for node relay and serial debug</x:v>
      </x:c>
      <x:c r="E6" s="43" t="str">
        <x:v>Simulation packet format frozen</x:v>
      </x:c>
      <x:c r="F6" s="43" t="str">
        <x:v>Physical node-to-node message send/ACK works</x:v>
      </x:c>
      <x:c r="G6" s="43" t="str">
        <x:v>VS Code, PlatformIO</x:v>
      </x:c>
      <x:c r="H6" s="43" t="str">
        <x:v>Not Started</x:v>
      </x:c>
      <x:c r="I6" s="43" t="str">
        <x:v>Start with 2 nodes, then 6.</x:v>
      </x:c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3</x:v>
      </x:c>
      <x:c r="B7" s="43" t="str">
        <x:v>Raspberry Pi Gateway</x:v>
      </x:c>
      <x:c r="C7" s="43" t="str">
        <x:v>Build gateway service and dashboard</x:v>
      </x:c>
      <x:c r="D7" s="43" t="str">
        <x:v>Python service + Flask dashboard</x:v>
      </x:c>
      <x:c r="E7" s="43" t="str">
        <x:v>ESP32 packet format stable</x:v>
      </x:c>
      <x:c r="F7" s="43" t="str">
        <x:v>Gateway sends/receives LoRa and routes to WiFi path</x:v>
      </x:c>
      <x:c r="G7" s="43" t="str">
        <x:v>Raspberry Pi 3B, Python</x:v>
      </x:c>
      <x:c r="H7" s="43" t="str">
        <x:v>Not Started</x:v>
      </x:c>
      <x:c r="I7" s="43" t="str">
        <x:v>Direct LoRa module on Pi.</x:v>
      </x:c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4</x:v>
      </x:c>
      <x:c r="B8" s="43" t="str">
        <x:v>Router/Satellite Simulation</x:v>
      </x:c>
      <x:c r="C8" s="43" t="str">
        <x:v>Connect two network gateways over WiFi routers</x:v>
      </x:c>
      <x:c r="D8" s="43" t="str">
        <x:v>Inter-network messaging with artificial latency</x:v>
      </x:c>
      <x:c r="E8" s="43" t="str">
        <x:v>Gateway API stable</x:v>
      </x:c>
      <x:c r="F8" s="43" t="str">
        <x:v>Network A can deliver to Network B through WiFi path</x:v>
      </x:c>
      <x:c r="G8" s="43" t="str">
        <x:v>Linux tc/netem, routers</x:v>
      </x:c>
      <x:c r="H8" s="43" t="str">
        <x:v>Not Started</x:v>
      </x:c>
      <x:c r="I8" s="43" t="str">
        <x:v>Use 500-700 ms delay.</x:v>
      </x:c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5</x:v>
      </x:c>
      <x:c r="B9" s="43" t="str">
        <x:v>Android Chat App</x:v>
      </x:c>
      <x:c r="C9" s="43" t="str">
        <x:v>Create Android messaging app</x:v>
      </x:c>
      <x:c r="D9" s="43" t="str">
        <x:v>Android Studio project</x:v>
      </x:c>
      <x:c r="E9" s="43" t="str">
        <x:v>Gateway REST/WebSocket API stable</x:v>
      </x:c>
      <x:c r="F9" s="43" t="str">
        <x:v>Android app sends/receives via active transport</x:v>
      </x:c>
      <x:c r="G9" s="43" t="str">
        <x:v>Android Studio Kotlin</x:v>
      </x:c>
      <x:c r="H9" s="43" t="str">
        <x:v>Not Started</x:v>
      </x:c>
      <x:c r="I9" s="43" t="str">
        <x:v>LoRa/WiFi/GSM transport awareness.</x:v>
      </x:c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 t="str">
        <x:v>6</x:v>
      </x:c>
      <x:c r="B10" s="43" t="str">
        <x:v>Integrated Test Campaign</x:v>
      </x:c>
      <x:c r="C10" s="43" t="str">
        <x:v>Validate acceptance criteria</x:v>
      </x:c>
      <x:c r="D10" s="43" t="str">
        <x:v>Signed test results and logs</x:v>
      </x:c>
      <x:c r="E10" s="43" t="str">
        <x:v>All components working</x:v>
      </x:c>
      <x:c r="F10" s="43" t="str">
        <x:v>PDR, failover, recovery, uptime targets measured</x:v>
      </x:c>
      <x:c r="G10" s="43" t="str">
        <x:v>Workbook + logs</x:v>
      </x:c>
      <x:c r="H10" s="43" t="str">
        <x:v>Not Started</x:v>
      </x:c>
      <x:c r="I10" s="43" t="str">
        <x:v>Use Test Campaign sheet.</x:v>
      </x:c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9.44999694824219" hidden="0" customWidth="1"/>
    <x:col min="2" max="2" width="15.75" hidden="0" customWidth="1"/>
    <x:col min="3" max="3" width="19.25" hidden="0" customWidth="1"/>
    <x:col min="4" max="4" width="32" hidden="0" customWidth="1"/>
    <x:col min="5" max="5" width="32" hidden="0" customWidth="1"/>
    <x:col min="6" max="6" width="11.3100004196167" hidden="0" customWidth="1"/>
    <x:col min="7" max="7" width="5.519999980926514" hidden="0" customWidth="1"/>
    <x:col min="8" max="8" width="10.229999542236328" hidden="0" customWidth="1"/>
    <x:col min="9" max="9" width="13.1899995803833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199" t="str">
        <x:v>Detailed Step Tracker - Update After Every Completed Step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2" t="str">
        <x:v>Step ID</x:v>
      </x:c>
      <x:c r="B2" s="42" t="str">
        <x:v>Phase</x:v>
      </x:c>
      <x:c r="C2" s="42" t="str">
        <x:v>Stage</x:v>
      </x:c>
      <x:c r="D2" s="42" t="str">
        <x:v>Action / Procedure</x:v>
      </x:c>
      <x:c r="E2" s="42" t="str">
        <x:v>Validation / Expected Result</x:v>
      </x:c>
      <x:c r="F2" s="42" t="str">
        <x:v>Status</x:v>
      </x:c>
      <x:c r="G2" s="42" t="str">
        <x:v>Owner</x:v>
      </x:c>
      <x:c r="H2" s="42" t="str">
        <x:v>Date Started</x:v>
      </x:c>
      <x:c r="I2" s="42" t="str">
        <x:v>Date Completed</x:v>
      </x:c>
      <x:c r="J2" s="42" t="str">
        <x:v>Actual Result</x:v>
      </x:c>
      <x:c r="K2" s="42" t="str">
        <x:v>Evidence / File / Screenshot</x:v>
      </x:c>
      <x:c r="L2" s="42" t="str">
        <x:v>Notes</x:v>
      </x:c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79" t="str">
        <x:v>0.1</x:v>
      </x:c>
      <x:c r="B3" s="179" t="str">
        <x:v>0 Baseline</x:v>
      </x:c>
      <x:c r="C3" s="179" t="str">
        <x:v>Workbook</x:v>
      </x:c>
      <x:c r="D3" s="179" t="str">
        <x:v>Review workbook sheets and confirm architecture</x:v>
      </x:c>
      <x:c r="E3" s="179" t="str">
        <x:v>Architecture accepted or edits listed</x:v>
      </x:c>
      <x:c r="F3" s="179" t="str">
        <x:v>Completed</x:v>
      </x:c>
      <x:c r="G3" s="179" t="str"/>
      <x:c r="H3" s="179" t="n">
        <x:v>46147</x:v>
      </x:c>
      <x:c r="I3" s="179" t="n">
        <x:v>46147</x:v>
      </x:c>
      <x:c r="J3" s="179" t="str">
        <x:v>Workbook reviewed; DOCX test procedures set as control requirement.</x:v>
      </x:c>
      <x:c r="K3" s="179" t="str">
        <x:v>PUP_MANET_Implementation_Workbook_Stage1_Updated.xlsx</x:v>
      </x:c>
      <x:c r="L3" s="179" t="str">
        <x:v>Stage 1 development started after test-aligned diagrams.</x:v>
      </x:c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179" t="str">
        <x:v>0.2</x:v>
      </x:c>
      <x:c r="B4" s="179" t="str">
        <x:v>0 Baseline</x:v>
      </x:c>
      <x:c r="C4" s="179" t="str">
        <x:v>Topology</x:v>
      </x:c>
      <x:c r="D4" s="179" t="str">
        <x:v>Confirm 6-node topology: Network A has 3 nodes, Network B has 3 nodes, each with gateway and WiFi router</x:v>
      </x:c>
      <x:c r="E4" s="179" t="str">
        <x:v>Topology confirmed</x:v>
      </x:c>
      <x:c r="F4" s="179" t="str">
        <x:v>Completed</x:v>
      </x:c>
      <x:c r="G4" s="179" t="str"/>
      <x:c r="H4" s="179" t="n">
        <x:v>46147</x:v>
      </x:c>
      <x:c r="I4" s="179" t="n">
        <x:v>46147</x:v>
      </x:c>
      <x:c r="J4" s="179" t="str">
        <x:v>Topology confirmed: two MANET networks, 3 ESP32 LoRa nodes per network, each node paired to Android via Bluetooth; gateways bridge networks.</x:v>
      </x:c>
      <x:c r="K4" s="179" t="str">
        <x:v>System/Data Flow diagrams</x:v>
      </x:c>
      <x:c r="L4" s="179" t="str">
        <x:v>6 nodes total.</x:v>
      </x:c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179" t="str">
        <x:v>0.3</x:v>
      </x:c>
      <x:c r="B5" s="179" t="str">
        <x:v>0 Baseline</x:v>
      </x:c>
      <x:c r="C5" s="179" t="str">
        <x:v>Frequency</x:v>
      </x:c>
      <x:c r="D5" s="179" t="str">
        <x:v>Confirm prototype frequency and power setting for SX1278 Ra-02 433 MHz</x:v>
      </x:c>
      <x:c r="E5" s="179" t="str">
        <x:v>Selected LoRa settings documented</x:v>
      </x:c>
      <x:c r="F5" s="179" t="str">
        <x:v>Completed</x:v>
      </x:c>
      <x:c r="G5" s="179" t="str"/>
      <x:c r="H5" s="179" t="n">
        <x:v>46147</x:v>
      </x:c>
      <x:c r="I5" s="179" t="n">
        <x:v>46147</x:v>
      </x:c>
      <x:c r="J5" s="179" t="str">
        <x:v>Prototype frequency recorded as SX1278 Ra-02 433 MHz; conservative Tx power placeholder set to 10 dBm in ESP32 skeleton.</x:v>
      </x:c>
      <x:c r="K5" s="179" t="str">
        <x:v>esp32_node/src/main.cpp</x:v>
      </x:c>
      <x:c r="L5" s="179" t="str">
        <x:v>Compliance review needed before field deployment.</x:v>
      </x:c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179" t="str">
        <x:v>1.1</x:v>
      </x:c>
      <x:c r="B6" s="179" t="str">
        <x:v>1 Simulation</x:v>
      </x:c>
      <x:c r="C6" s="179" t="str">
        <x:v>Packet Model</x:v>
      </x:c>
      <x:c r="D6" s="179" t="str">
        <x:v>Create JSON packet model for message, ACK, HELLO, route advert, gateway advert</x:v>
      </x:c>
      <x:c r="E6" s="179" t="str">
        <x:v>Simulator accepts packet schema</x:v>
      </x:c>
      <x:c r="F6" s="179" t="str">
        <x:v>Completed</x:v>
      </x:c>
      <x:c r="G6" s="179" t="str"/>
      <x:c r="H6" s="179" t="n">
        <x:v>46147</x:v>
      </x:c>
      <x:c r="I6" s="179" t="n">
        <x:v>46147</x:v>
      </x:c>
      <x:c r="J6" s="179" t="str">
        <x:v>JSON packet model created for MSG and HELLO; ACK/retry behavior represented in simulator logic and skeleton.</x:v>
      </x:c>
      <x:c r="K6" s="179" t="str">
        <x:v>simulation/manet_sim.py</x:v>
      </x:c>
      <x:c r="L6" s="179" t="str">
        <x:v>ACK protocol will be expanded during ESP32 implementation.</x:v>
      </x:c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179" t="str">
        <x:v>1.2</x:v>
      </x:c>
      <x:c r="B7" s="179" t="str">
        <x:v>1 Simulation</x:v>
      </x:c>
      <x:c r="C7" s="179" t="str">
        <x:v>Six Nodes</x:v>
      </x:c>
      <x:c r="D7" s="179" t="str">
        <x:v>Simulate six nodes: A1-A3 and B1-B3 with two gateways GWA/GWB</x:v>
      </x:c>
      <x:c r="E7" s="179" t="str">
        <x:v>All simulated nodes appear in log</x:v>
      </x:c>
      <x:c r="F7" s="179" t="str">
        <x:v>Completed</x:v>
      </x:c>
      <x:c r="G7" s="179" t="str"/>
      <x:c r="H7" s="179" t="n">
        <x:v>46147</x:v>
      </x:c>
      <x:c r="I7" s="179" t="n">
        <x:v>46147</x:v>
      </x:c>
      <x:c r="J7" s="179" t="str">
        <x:v>Six simulated nodes created: A1-A3 and B1-B3 with GWA/GWB gateways.</x:v>
      </x:c>
      <x:c r="K7" s="179" t="str">
        <x:v>results/simulation_report.json</x:v>
      </x:c>
      <x:c r="L7" s="179" t="str">
        <x:v>Simulation-first validation complete.</x:v>
      </x:c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179" t="str">
        <x:v>1.3</x:v>
      </x:c>
      <x:c r="B8" s="179" t="str">
        <x:v>1 Simulation</x:v>
      </x:c>
      <x:c r="C8" s="179" t="str">
        <x:v>Local Delivery</x:v>
      </x:c>
      <x:c r="D8" s="179" t="str">
        <x:v>Send message from A1 to A2 and A3 through simulated local routing</x:v>
      </x:c>
      <x:c r="E8" s="179" t="str">
        <x:v>Message delivered with ACK</x:v>
      </x:c>
      <x:c r="F8" s="179" t="str">
        <x:v>Completed</x:v>
      </x:c>
      <x:c r="G8" s="179" t="str"/>
      <x:c r="H8" s="179" t="n">
        <x:v>46147</x:v>
      </x:c>
      <x:c r="I8" s="179" t="n">
        <x:v>46147</x:v>
      </x:c>
      <x:c r="J8" s="179" t="str">
        <x:v>A1 to A2 and B1 to B2 local delivery passed with simulated 100% PDR.</x:v>
      </x:c>
      <x:c r="K8" s="179" t="str">
        <x:v>results/stage1_run_log.txt</x:v>
      </x:c>
      <x:c r="L8" s="179" t="str">
        <x:v>Baseline simulator passed.</x:v>
      </x:c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179" t="str">
        <x:v>1.4</x:v>
      </x:c>
      <x:c r="B9" s="179" t="str">
        <x:v>1 Simulation</x:v>
      </x:c>
      <x:c r="C9" s="179" t="str">
        <x:v>Inter-network Delivery</x:v>
      </x:c>
      <x:c r="D9" s="179" t="str">
        <x:v>When destination is not found locally, route message from Network A to Network B via gateway/WiFi path</x:v>
      </x:c>
      <x:c r="E9" s="179" t="str">
        <x:v>A1 can send to B1/B2/B3</x:v>
      </x:c>
      <x:c r="F9" s="179" t="str">
        <x:v>Completed</x:v>
      </x:c>
      <x:c r="G9" s="179" t="str"/>
      <x:c r="H9" s="179" t="n">
        <x:v>46147</x:v>
      </x:c>
      <x:c r="I9" s="179" t="n">
        <x:v>46147</x:v>
      </x:c>
      <x:c r="J9" s="179" t="str">
        <x:v>A1 to B2 cross-network routing passed via GWA -&gt; WiFiRouterA -&gt; WiFiRouterB -&gt; GWB.</x:v>
      </x:c>
      <x:c r="K9" s="179" t="str">
        <x:v>results/stage1_run_log.txt</x:v>
      </x:c>
      <x:c r="L9" s="179" t="str">
        <x:v>Rule implemented: if destination not local, route to next network.</x:v>
      </x:c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179" t="str">
        <x:v>1.5</x:v>
      </x:c>
      <x:c r="B10" s="179" t="str">
        <x:v>1 Simulation</x:v>
      </x:c>
      <x:c r="C10" s="179" t="str">
        <x:v>Failover Logic</x:v>
      </x:c>
      <x:c r="D10" s="179" t="str">
        <x:v>Simulate local link failure and activate WiFi-router path after 10 seconds</x:v>
      </x:c>
      <x:c r="E10" s="179" t="str">
        <x:v>Failover logged and messages buffered/retried</x:v>
      </x:c>
      <x:c r="F10" s="179" t="str">
        <x:v>Completed</x:v>
      </x:c>
      <x:c r="G10" s="179" t="str"/>
      <x:c r="H10" s="179" t="n">
        <x:v>46147</x:v>
      </x:c>
      <x:c r="I10" s="179" t="n">
        <x:v>46147</x:v>
      </x:c>
      <x:c r="J10" s="179" t="str">
        <x:v>Degradation simulation triggers failover when RSSI is below -78 dBm for 10 simulated seconds.</x:v>
      </x:c>
      <x:c r="K10" s="179" t="str">
        <x:v>results/stage1_run_log.txt</x:v>
      </x:c>
      <x:c r="L10" s="179" t="str">
        <x:v>Timer is simulated to avoid waiting during software test.</x:v>
      </x:c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179" t="str">
        <x:v>1.6</x:v>
      </x:c>
      <x:c r="B11" s="179" t="str">
        <x:v>1 Simulation</x:v>
      </x:c>
      <x:c r="C11" s="179" t="str">
        <x:v>Recovery Logic</x:v>
      </x:c>
      <x:c r="D11" s="179" t="str">
        <x:v>Restore local path and revert after stable recovery time</x:v>
      </x:c>
      <x:c r="E11" s="179" t="str">
        <x:v>Recovery logged with no duplicate delivery</x:v>
      </x:c>
      <x:c r="F11" s="179" t="str">
        <x:v>Completed</x:v>
      </x:c>
      <x:c r="G11" s="179" t="str"/>
      <x:c r="H11" s="179" t="n">
        <x:v>46147</x:v>
      </x:c>
      <x:c r="I11" s="179" t="n">
        <x:v>46147</x:v>
      </x:c>
      <x:c r="J11" s="179" t="str">
        <x:v>Recovery simulation returns to MANET after RSSI recovers above threshold and remains stable for 10 seconds.</x:v>
      </x:c>
      <x:c r="K11" s="179" t="str">
        <x:v>results/stage1_run_log.txt</x:v>
      </x:c>
      <x:c r="L11" s="179" t="str">
        <x:v>Switch target &lt;=5 sec documented.</x:v>
      </x:c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180" t="str">
        <x:v>2.1</x:v>
      </x:c>
      <x:c r="B12" s="180" t="str">
        <x:v>2 ESP32</x:v>
      </x:c>
      <x:c r="C12" s="180" t="str">
        <x:v>PlatformIO Project</x:v>
      </x:c>
      <x:c r="D12" s="180" t="str">
        <x:v>Create ESP32 PlatformIO project with SX1278 library and node config</x:v>
      </x:c>
      <x:c r="E12" s="180" t="str">
        <x:v>Project builds successfully</x:v>
      </x:c>
      <x:c r="F12" s="180" t="str">
        <x:v>In Progress</x:v>
      </x:c>
      <x:c r="G12" s="180" t="str"/>
      <x:c r="H12" s="180" t="n">
        <x:v>46147</x:v>
      </x:c>
      <x:c r="I12" s="180" t="str"/>
      <x:c r="J12" s="180" t="str">
        <x:v>PlatformIO project skeleton created; build verification and hardware-specific LoRa test are next.</x:v>
      </x:c>
      <x:c r="K12" s="180" t="str">
        <x:v>esp32_node/platformio.ini; esp32_node/src/main.cpp</x:v>
      </x:c>
      <x:c r="L12" s="180" t="str">
        <x:v>Next step: complete ESP32 packet firmware and build in VS Code PlatformIO.</x:v>
      </x:c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 t="str">
        <x:v>2.2</x:v>
      </x:c>
      <x:c r="B13" s="43" t="str">
        <x:v>2 ESP32</x:v>
      </x:c>
      <x:c r="C13" s="43" t="str">
        <x:v>LoRa Wiring Test</x:v>
      </x:c>
      <x:c r="D13" s="43" t="str">
        <x:v>Wire one ESP32 to SX1278 and run send/receive test</x:v>
      </x:c>
      <x:c r="E13" s="43" t="str">
        <x:v>Radio initializes and sends packets</x:v>
      </x:c>
      <x:c r="F13" s="43" t="str">
        <x:v>Not Started</x:v>
      </x:c>
      <x:c r="G13" s="43" t="str"/>
      <x:c r="H13" s="43" t="str"/>
      <x:c r="I13" s="43" t="str"/>
      <x:c r="J13" s="43" t="str"/>
      <x:c r="K13" s="43" t="str"/>
      <x:c r="L13" s="43" t="str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 t="str">
        <x:v>2.3</x:v>
      </x:c>
      <x:c r="B14" s="43" t="str">
        <x:v>2 ESP32</x:v>
      </x:c>
      <x:c r="C14" s="43" t="str">
        <x:v>Two-node Test</x:v>
      </x:c>
      <x:c r="D14" s="43" t="str">
        <x:v>Flash two ESP32 nodes and test text message + ACK</x:v>
      </x:c>
      <x:c r="E14" s="43" t="str">
        <x:v>PDR &gt;=95% at short range</x:v>
      </x:c>
      <x:c r="F14" s="43" t="str">
        <x:v>Not Started</x:v>
      </x:c>
      <x:c r="G14" s="43" t="str"/>
      <x:c r="H14" s="43" t="str"/>
      <x:c r="I14" s="43" t="str"/>
      <x:c r="J14" s="43" t="str"/>
      <x:c r="K14" s="43" t="str"/>
      <x:c r="L14" s="43" t="str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 t="str">
        <x:v>2.4</x:v>
      </x:c>
      <x:c r="B15" s="43" t="str">
        <x:v>2 ESP32</x:v>
      </x:c>
      <x:c r="C15" s="43" t="str">
        <x:v>Six-node Test</x:v>
      </x:c>
      <x:c r="D15" s="43" t="str">
        <x:v>Flash six nodes with IDs A1-A3/B1-B3</x:v>
      </x:c>
      <x:c r="E15" s="43" t="str">
        <x:v>All nodes send HELLO packets</x:v>
      </x:c>
      <x:c r="F15" s="43" t="str">
        <x:v>Not Started</x:v>
      </x:c>
      <x:c r="G15" s="43" t="str"/>
      <x:c r="H15" s="43" t="str"/>
      <x:c r="I15" s="43" t="str"/>
      <x:c r="J15" s="43" t="str"/>
      <x:c r="K15" s="43" t="str"/>
      <x:c r="L15" s="43" t="str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 t="str">
        <x:v>2.5</x:v>
      </x:c>
      <x:c r="B16" s="43" t="str">
        <x:v>2 ESP32</x:v>
      </x:c>
      <x:c r="C16" s="43" t="str">
        <x:v>Battery Metric</x:v>
      </x:c>
      <x:c r="D16" s="43" t="str">
        <x:v>Add battery percentage reading through voltage divider</x:v>
      </x:c>
      <x:c r="E16" s="43" t="str">
        <x:v>Battery shown in HELLO packet</x:v>
      </x:c>
      <x:c r="F16" s="43" t="str">
        <x:v>Not Started</x:v>
      </x:c>
      <x:c r="G16" s="43" t="str"/>
      <x:c r="H16" s="43" t="str"/>
      <x:c r="I16" s="43" t="str"/>
      <x:c r="J16" s="43" t="str"/>
      <x:c r="K16" s="43" t="str"/>
      <x:c r="L16" s="43" t="str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 t="str">
        <x:v>3.1</x:v>
      </x:c>
      <x:c r="B17" s="43" t="str">
        <x:v>3 Gateway</x:v>
      </x:c>
      <x:c r="C17" s="43" t="str">
        <x:v>Pi LoRa Wiring</x:v>
      </x:c>
      <x:c r="D17" s="43" t="str">
        <x:v>Connect SX1278 directly to Raspberry Pi 3B SPI</x:v>
      </x:c>
      <x:c r="E17" s="43" t="str">
        <x:v>Pi can initialize radio</x:v>
      </x:c>
      <x:c r="F17" s="43" t="str">
        <x:v>Not Started</x:v>
      </x:c>
      <x:c r="G17" s="43" t="str"/>
      <x:c r="H17" s="43" t="str"/>
      <x:c r="I17" s="43" t="str"/>
      <x:c r="J17" s="43" t="str"/>
      <x:c r="K17" s="43" t="str"/>
      <x:c r="L17" s="43" t="str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 t="str">
        <x:v>3.2</x:v>
      </x:c>
      <x:c r="B18" s="43" t="str">
        <x:v>3 Gateway</x:v>
      </x:c>
      <x:c r="C18" s="43" t="str">
        <x:v>Python Gateway Service</x:v>
      </x:c>
      <x:c r="D18" s="43" t="str">
        <x:v>Create Python service to receive/transmit LoRa packets</x:v>
      </x:c>
      <x:c r="E18" s="43" t="str">
        <x:v>Gateway logs LoRa packets</x:v>
      </x:c>
      <x:c r="F18" s="43" t="str">
        <x:v>Not Started</x:v>
      </x:c>
      <x:c r="G18" s="43" t="str"/>
      <x:c r="H18" s="43" t="str"/>
      <x:c r="I18" s="43" t="str"/>
      <x:c r="J18" s="43" t="str"/>
      <x:c r="K18" s="43" t="str"/>
      <x:c r="L18" s="43" t="str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 t="str">
        <x:v>3.3</x:v>
      </x:c>
      <x:c r="B19" s="43" t="str">
        <x:v>3 Gateway</x:v>
      </x:c>
      <x:c r="C19" s="43" t="str">
        <x:v>Dashboard</x:v>
      </x:c>
      <x:c r="D19" s="43" t="str">
        <x:v>Create Flask dashboard showing nodes, messages, routes, RSSI/SNR</x:v>
      </x:c>
      <x:c r="E19" s="43" t="str">
        <x:v>Dashboard works on LAN</x:v>
      </x:c>
      <x:c r="F19" s="43" t="str">
        <x:v>Not Started</x:v>
      </x:c>
      <x:c r="G19" s="43" t="str"/>
      <x:c r="H19" s="43" t="str"/>
      <x:c r="I19" s="43" t="str"/>
      <x:c r="J19" s="43" t="str"/>
      <x:c r="K19" s="43" t="str"/>
      <x:c r="L19" s="43" t="str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 t="str">
        <x:v>3.4</x:v>
      </x:c>
      <x:c r="B20" s="43" t="str">
        <x:v>3 Gateway</x:v>
      </x:c>
      <x:c r="C20" s="43" t="str">
        <x:v>Message Database</x:v>
      </x:c>
      <x:c r="D20" s="43" t="str">
        <x:v>Store messages, ACKs, route events, and errors in SQLite</x:v>
      </x:c>
      <x:c r="E20" s="43" t="str">
        <x:v>Database persists after restart</x:v>
      </x:c>
      <x:c r="F20" s="43" t="str">
        <x:v>Not Started</x:v>
      </x:c>
      <x:c r="G20" s="43" t="str"/>
      <x:c r="H20" s="43" t="str"/>
      <x:c r="I20" s="43" t="str"/>
      <x:c r="J20" s="43" t="str"/>
      <x:c r="K20" s="43" t="str"/>
      <x:c r="L20" s="43" t="str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 t="str">
        <x:v>4.1</x:v>
      </x:c>
      <x:c r="B21" s="43" t="str">
        <x:v>4 Router Simulation</x:v>
      </x:c>
      <x:c r="C21" s="43" t="str">
        <x:v>Router Setup</x:v>
      </x:c>
      <x:c r="D21" s="43" t="str">
        <x:v>Configure two WiFi routers for wireless connection/bridge simulation</x:v>
      </x:c>
      <x:c r="E21" s="43" t="str">
        <x:v>Gateways can ping each other through routers</x:v>
      </x:c>
      <x:c r="F21" s="43" t="str">
        <x:v>Not Started</x:v>
      </x:c>
      <x:c r="G21" s="43" t="str"/>
      <x:c r="H21" s="43" t="str"/>
      <x:c r="I21" s="43" t="str"/>
      <x:c r="J21" s="43" t="str"/>
      <x:c r="K21" s="43" t="str"/>
      <x:c r="L21" s="43" t="str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 t="str">
        <x:v>4.2</x:v>
      </x:c>
      <x:c r="B22" s="43" t="str">
        <x:v>4 Router Simulation</x:v>
      </x:c>
      <x:c r="C22" s="43" t="str">
        <x:v>Latency Simulation</x:v>
      </x:c>
      <x:c r="D22" s="43" t="str">
        <x:v>Apply 500-700 ms artificial delay using Linux tc/netem</x:v>
      </x:c>
      <x:c r="E22" s="43" t="str">
        <x:v>Ping latency matches target</x:v>
      </x:c>
      <x:c r="F22" s="43" t="str">
        <x:v>Not Started</x:v>
      </x:c>
      <x:c r="G22" s="43" t="str"/>
      <x:c r="H22" s="43" t="str"/>
      <x:c r="I22" s="43" t="str"/>
      <x:c r="J22" s="43" t="str"/>
      <x:c r="K22" s="43" t="str"/>
      <x:c r="L22" s="43" t="str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 t="str">
        <x:v>4.3</x:v>
      </x:c>
      <x:c r="B23" s="43" t="str">
        <x:v>4 Router Simulation</x:v>
      </x:c>
      <x:c r="C23" s="43" t="str">
        <x:v>Cross-network Routing</x:v>
      </x:c>
      <x:c r="D23" s="43" t="str">
        <x:v>Route messages from local gateway to remote gateway</x:v>
      </x:c>
      <x:c r="E23" s="43" t="str">
        <x:v>A network can message B network</x:v>
      </x:c>
      <x:c r="F23" s="43" t="str">
        <x:v>Not Started</x:v>
      </x:c>
      <x:c r="G23" s="43" t="str"/>
      <x:c r="H23" s="43" t="str"/>
      <x:c r="I23" s="43" t="str"/>
      <x:c r="J23" s="43" t="str"/>
      <x:c r="K23" s="43" t="str"/>
      <x:c r="L23" s="43" t="str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 t="str">
        <x:v>5.1</x:v>
      </x:c>
      <x:c r="B24" s="43" t="str">
        <x:v>5 Android</x:v>
      </x:c>
      <x:c r="C24" s="43" t="str">
        <x:v>Requirements</x:v>
      </x:c>
      <x:c r="D24" s="43" t="str">
        <x:v>Define Android screens, API endpoints, and transport states</x:v>
      </x:c>
      <x:c r="E24" s="43" t="str">
        <x:v>App design approved</x:v>
      </x:c>
      <x:c r="F24" s="43" t="str">
        <x:v>Not Started</x:v>
      </x:c>
      <x:c r="G24" s="43" t="str"/>
      <x:c r="H24" s="43" t="str"/>
      <x:c r="I24" s="43" t="str"/>
      <x:c r="J24" s="43" t="str"/>
      <x:c r="K24" s="43" t="str"/>
      <x:c r="L24" s="43" t="str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 t="str">
        <x:v>5.2</x:v>
      </x:c>
      <x:c r="B25" s="43" t="str">
        <x:v>5 Android</x:v>
      </x:c>
      <x:c r="C25" s="43" t="str">
        <x:v>Android Project</x:v>
      </x:c>
      <x:c r="D25" s="43" t="str">
        <x:v>Create Android Studio Kotlin project</x:v>
      </x:c>
      <x:c r="E25" s="43" t="str">
        <x:v>App builds and runs on emulator/device</x:v>
      </x:c>
      <x:c r="F25" s="43" t="str">
        <x:v>Not Started</x:v>
      </x:c>
      <x:c r="G25" s="43" t="str"/>
      <x:c r="H25" s="43" t="str"/>
      <x:c r="I25" s="43" t="str"/>
      <x:c r="J25" s="43" t="str"/>
      <x:c r="K25" s="43" t="str"/>
      <x:c r="L25" s="43" t="str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 t="str">
        <x:v>5.3</x:v>
      </x:c>
      <x:c r="B26" s="43" t="str">
        <x:v>5 Android</x:v>
      </x:c>
      <x:c r="C26" s="43" t="str">
        <x:v>Gateway API Integration</x:v>
      </x:c>
      <x:c r="D26" s="43" t="str">
        <x:v>Connect app to Pi gateway REST/WebSocket API</x:v>
      </x:c>
      <x:c r="E26" s="43" t="str">
        <x:v>App sends and receives messages</x:v>
      </x:c>
      <x:c r="F26" s="43" t="str">
        <x:v>Not Started</x:v>
      </x:c>
      <x:c r="G26" s="43" t="str"/>
      <x:c r="H26" s="43" t="str"/>
      <x:c r="I26" s="43" t="str"/>
      <x:c r="J26" s="43" t="str"/>
      <x:c r="K26" s="43" t="str"/>
      <x:c r="L26" s="43" t="str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 t="str">
        <x:v>5.4</x:v>
      </x:c>
      <x:c r="B27" s="43" t="str">
        <x:v>5 Android</x:v>
      </x:c>
      <x:c r="C27" s="43" t="str">
        <x:v>Transport Status UI</x:v>
      </x:c>
      <x:c r="D27" s="43" t="str">
        <x:v>Show LoRa/WiFi/GSM path status and message delivery state</x:v>
      </x:c>
      <x:c r="E27" s="43" t="str">
        <x:v>User can see active route</x:v>
      </x:c>
      <x:c r="F27" s="43" t="str">
        <x:v>Not Started</x:v>
      </x:c>
      <x:c r="G27" s="43" t="str"/>
      <x:c r="H27" s="43" t="str"/>
      <x:c r="I27" s="43" t="str"/>
      <x:c r="J27" s="43" t="str"/>
      <x:c r="K27" s="43" t="str"/>
      <x:c r="L27" s="43" t="str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 t="str">
        <x:v>6.1</x:v>
      </x:c>
      <x:c r="B28" s="43" t="str">
        <x:v>6 Testing</x:v>
      </x:c>
      <x:c r="C28" s="43" t="str">
        <x:v>Baseline Test</x:v>
      </x:c>
      <x:c r="D28" s="43" t="str">
        <x:v>Run baseline terrestrial LoRa messaging</x:v>
      </x:c>
      <x:c r="E28" s="43" t="str">
        <x:v>PDR &gt;=95%, MANET forms within 30s</x:v>
      </x:c>
      <x:c r="F28" s="43" t="str">
        <x:v>Not Started</x:v>
      </x:c>
      <x:c r="G28" s="43" t="str"/>
      <x:c r="H28" s="43" t="str"/>
      <x:c r="I28" s="43" t="str"/>
      <x:c r="J28" s="43" t="str"/>
      <x:c r="K28" s="43" t="str"/>
      <x:c r="L28" s="43" t="str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 t="str">
        <x:v>6.2</x:v>
      </x:c>
      <x:c r="B29" s="43" t="str">
        <x:v>6 Testing</x:v>
      </x:c>
      <x:c r="C29" s="43" t="str">
        <x:v>Degradation Test</x:v>
      </x:c>
      <x:c r="D29" s="43" t="str">
        <x:v>Move nodes/attenuate signal and monitor RSSI/SNR</x:v>
      </x:c>
      <x:c r="E29" s="43" t="str">
        <x:v>Degradation detected after threshold period</x:v>
      </x:c>
      <x:c r="F29" s="43" t="str">
        <x:v>Not Started</x:v>
      </x:c>
      <x:c r="G29" s="43" t="str"/>
      <x:c r="H29" s="43" t="str"/>
      <x:c r="I29" s="43" t="str"/>
      <x:c r="J29" s="43" t="str"/>
      <x:c r="K29" s="43" t="str"/>
      <x:c r="L29" s="43" t="str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 t="str">
        <x:v>6.3</x:v>
      </x:c>
      <x:c r="B30" s="43" t="str">
        <x:v>6 Testing</x:v>
      </x:c>
      <x:c r="C30" s="43" t="str">
        <x:v>Failover Test</x:v>
      </x:c>
      <x:c r="D30" s="43" t="str">
        <x:v>Disable/degrade local path and trigger WiFi-router backhaul</x:v>
      </x:c>
      <x:c r="E30" s="43" t="str">
        <x:v>Failover within configured delay</x:v>
      </x:c>
      <x:c r="F30" s="43" t="str">
        <x:v>Not Started</x:v>
      </x:c>
      <x:c r="G30" s="43" t="str"/>
      <x:c r="H30" s="43" t="str"/>
      <x:c r="I30" s="43" t="str"/>
      <x:c r="J30" s="43" t="str"/>
      <x:c r="K30" s="43" t="str"/>
      <x:c r="L30" s="43" t="str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 t="str">
        <x:v>6.4</x:v>
      </x:c>
      <x:c r="B31" s="43" t="str">
        <x:v>6 Testing</x:v>
      </x:c>
      <x:c r="C31" s="43" t="str">
        <x:v>Recovery Test</x:v>
      </x:c>
      <x:c r="D31" s="43" t="str">
        <x:v>Restore local path and verify automatic reversion</x:v>
      </x:c>
      <x:c r="E31" s="43" t="str">
        <x:v>Switch back within target; no message loss</x:v>
      </x:c>
      <x:c r="F31" s="43" t="str">
        <x:v>Not Started</x:v>
      </x:c>
      <x:c r="G31" s="43" t="str"/>
      <x:c r="H31" s="43" t="str"/>
      <x:c r="I31" s="43" t="str"/>
      <x:c r="J31" s="43" t="str"/>
      <x:c r="K31" s="43" t="str"/>
      <x:c r="L31" s="43" t="str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 t="str">
        <x:v>6.5</x:v>
      </x:c>
      <x:c r="B32" s="43" t="str">
        <x:v>6 Testing</x:v>
      </x:c>
      <x:c r="C32" s="43" t="str">
        <x:v>24-hour Test</x:v>
      </x:c>
      <x:c r="D32" s="43" t="str">
        <x:v>Run sustained emergency operation</x:v>
      </x:c>
      <x:c r="E32" s="43" t="str">
        <x:v>Uptime &gt;=80%, no unrecoverable crash</x:v>
      </x:c>
      <x:c r="F32" s="43" t="str">
        <x:v>Not Started</x:v>
      </x:c>
      <x:c r="G32" s="43" t="str"/>
      <x:c r="H32" s="43" t="str"/>
      <x:c r="I32" s="43" t="str"/>
      <x:c r="J32" s="43" t="str"/>
      <x:c r="K32" s="43" t="str"/>
      <x:c r="L32" s="43" t="str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L1"/>
  </x:mergeCells>
  <x:dataValidations count="1">
    <x:dataValidation type="list" sqref="F3:F200">
      <x:formula1>"Not Started,In Progress,Done,Blocked,Skipped"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2" hidden="0" customWidth="1"/>
    <x:col min="4" max="4" width="38" hidden="0" customWidth="1"/>
    <x:col min="5" max="5" width="18" hidden="0" customWidth="1"/>
    <x:col min="6" max="6" width="12" hidden="0" customWidth="1"/>
    <x:col min="7" max="7" width="32" hidden="0" customWidth="1"/>
    <x:col min="8" max="8" width="34" hidden="0" customWidth="1"/>
    <x:col min="9" max="9" width="14" hidden="0" customWidth="1"/>
    <x:col min="10" max="10" width="42" hidden="0" customWidth="1"/>
  </x:cols>
  <x:sheetData>
    <x:row r="1">
      <x:c r="A1" s="38" t="str">
        <x:v>Hardware Bill of Materials and Notes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Item</x:v>
      </x:c>
      <x:c r="B3" s="42" t="str">
        <x:v>Qty</x:v>
      </x:c>
      <x:c r="C3" s="42" t="str">
        <x:v>Use</x:v>
      </x:c>
      <x:c r="D3" s="42" t="str">
        <x:v>Recommended Spec</x:v>
      </x:c>
      <x:c r="E3" s="42" t="str">
        <x:v>Already Available?</x:v>
      </x:c>
      <x:c r="F3" s="42" t="str">
        <x:v>Priority</x:v>
      </x:c>
      <x:c r="G3" s="42" t="str">
        <x:v>Risk</x:v>
      </x:c>
      <x:c r="H3" s="42" t="str">
        <x:v>Validation Test</x:v>
      </x:c>
      <x:c r="I3" s="42" t="str">
        <x:v>Status</x:v>
      </x:c>
      <x:c r="J3" s="42" t="str">
        <x:v>Notes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ESP32 Dev Board</x:v>
      </x:c>
      <x:c r="B4" s="43" t="str">
        <x:v>6+</x:v>
      </x:c>
      <x:c r="C4" s="43" t="str">
        <x:v>MANET nodes</x:v>
      </x:c>
      <x:c r="D4" s="43" t="str">
        <x:v>ESP32 WROOM-32 acceptable; ESP32-S3 optional</x:v>
      </x:c>
      <x:c r="E4" s="43" t="str">
        <x:v>Yes/confirm</x:v>
      </x:c>
      <x:c r="F4" s="43" t="str">
        <x:v>High</x:v>
      </x:c>
      <x:c r="G4" s="43" t="str">
        <x:v>Pin/library differences</x:v>
      </x:c>
      <x:c r="H4" s="43" t="str">
        <x:v>Blink + serial + LoRa init</x:v>
      </x:c>
      <x:c r="I4" s="43" t="str">
        <x:v>Planned</x:v>
      </x:c>
      <x:c r="J4" s="43" t="str">
        <x:v>Use same board type if possible.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SX1278 Ra-02 433 MHz</x:v>
      </x:c>
      <x:c r="B5" s="43" t="str">
        <x:v>8</x:v>
      </x:c>
      <x:c r="C5" s="43" t="str">
        <x:v>6 nodes + 2 gateways</x:v>
      </x:c>
      <x:c r="D5" s="43" t="str">
        <x:v>433 MHz module with correct antenna</x:v>
      </x:c>
      <x:c r="E5" s="43" t="str">
        <x:v>Yes/confirm</x:v>
      </x:c>
      <x:c r="F5" s="43" t="str">
        <x:v>High</x:v>
      </x:c>
      <x:c r="G5" s="43" t="str">
        <x:v>Regulatory/power limits; bad antenna</x:v>
      </x:c>
      <x:c r="H5" s="43" t="str">
        <x:v>LoRa send/receive at short range</x:v>
      </x:c>
      <x:c r="I5" s="43" t="str">
        <x:v>Planned</x:v>
      </x:c>
      <x:c r="J5" s="43" t="str">
        <x:v>Use low power for prototype.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Raspberry Pi 3B</x:v>
      </x:c>
      <x:c r="B6" s="43" t="str">
        <x:v>2</x:v>
      </x:c>
      <x:c r="C6" s="43" t="str">
        <x:v>Gateways</x:v>
      </x:c>
      <x:c r="D6" s="43" t="str">
        <x:v>Pi 3B with stable 5V supply</x:v>
      </x:c>
      <x:c r="E6" s="43" t="str">
        <x:v>Confirm</x:v>
      </x:c>
      <x:c r="F6" s="43" t="str">
        <x:v>High</x:v>
      </x:c>
      <x:c r="G6" s="43" t="str">
        <x:v>SPI wiring, CPU limits</x:v>
      </x:c>
      <x:c r="H6" s="43" t="str">
        <x:v>Python LoRa gateway receives packets</x:v>
      </x:c>
      <x:c r="I6" s="43" t="str">
        <x:v>Planned</x:v>
      </x:c>
      <x:c r="J6" s="43" t="str">
        <x:v>Use Lite OS if possible.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WiFi Router 2.4 GHz</x:v>
      </x:c>
      <x:c r="B7" s="43" t="str">
        <x:v>2</x:v>
      </x:c>
      <x:c r="C7" s="43" t="str">
        <x:v>Satellite simulation</x:v>
      </x:c>
      <x:c r="D7" s="43" t="str">
        <x:v>Router that supports wireless bridge/repeater/client mode preferred</x:v>
      </x:c>
      <x:c r="E7" s="43" t="str">
        <x:v>Yes</x:v>
      </x:c>
      <x:c r="F7" s="43" t="str">
        <x:v>High</x:v>
      </x:c>
      <x:c r="G7" s="43" t="str">
        <x:v>May not bridge wirelessly</x:v>
      </x:c>
      <x:c r="H7" s="43" t="str">
        <x:v>Gateway ping test</x:v>
      </x:c>
      <x:c r="I7" s="43" t="str">
        <x:v>Planned</x:v>
      </x:c>
      <x:c r="J7" s="43" t="str">
        <x:v>If unsupported, use OpenWrt/travel router.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Android Phone</x:v>
      </x:c>
      <x:c r="B8" s="43" t="str">
        <x:v>1+</x:v>
      </x:c>
      <x:c r="C8" s="43" t="str">
        <x:v>Chat app testing</x:v>
      </x:c>
      <x:c r="D8" s="43" t="str">
        <x:v>Android 8+ recommended</x:v>
      </x:c>
      <x:c r="E8" s="43" t="str">
        <x:v>Confirm</x:v>
      </x:c>
      <x:c r="F8" s="43" t="str">
        <x:v>Medium</x:v>
      </x:c>
      <x:c r="G8" s="43" t="str">
        <x:v>Network permissions/background limits</x:v>
      </x:c>
      <x:c r="H8" s="43" t="str">
        <x:v>Install APK, connect to gateway</x:v>
      </x:c>
      <x:c r="I8" s="43" t="str">
        <x:v>Future</x:v>
      </x:c>
      <x:c r="J8" s="43" t="str">
        <x:v>Start web dashboard first.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Li-ion Battery Pack</x:v>
      </x:c>
      <x:c r="B9" s="43" t="str">
        <x:v>6</x:v>
      </x:c>
      <x:c r="C9" s="43" t="str">
        <x:v>Portable nodes</x:v>
      </x:c>
      <x:c r="D9" s="43" t="str">
        <x:v>3.7V/5V boost or regulated 5V</x:v>
      </x:c>
      <x:c r="E9" s="43" t="str">
        <x:v>Confirm</x:v>
      </x:c>
      <x:c r="F9" s="43" t="str">
        <x:v>Medium</x:v>
      </x:c>
      <x:c r="G9" s="43" t="str">
        <x:v>Voltage sag</x:v>
      </x:c>
      <x:c r="H9" s="43" t="str">
        <x:v>Runtime and battery reading test</x:v>
      </x:c>
      <x:c r="I9" s="43" t="str">
        <x:v>Future</x:v>
      </x:c>
      <x:c r="J9" s="43" t="str">
        <x:v>Simulation first.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38.7599983215332" hidden="0" customWidth="1"/>
    <x:col min="3" max="3" width="63.65999984741211" hidden="0" customWidth="1"/>
    <x:col min="4" max="4" width="32" hidden="0" customWidth="1"/>
    <x:col min="5" max="5" width="32" hidden="0" customWidth="1"/>
    <x:col min="6" max="6" width="11.979999542236328" hidden="0" customWidth="1"/>
    <x:col min="7" max="7" width="11.3100004196167" hidden="0" customWidth="1"/>
    <x:col min="8" max="8" width="46.970001220703125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199" t="str">
        <x:v>Configuration Tracker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Parameter</x:v>
      </x:c>
      <x:c r="B3" s="42" t="str">
        <x:v>Default / Starting Value</x:v>
      </x:c>
      <x:c r="C3" s="42" t="str">
        <x:v>Where Used</x:v>
      </x:c>
      <x:c r="D3" s="42" t="str">
        <x:v>Reason</x:v>
      </x:c>
      <x:c r="E3" s="42" t="str">
        <x:v>Can Change?</x:v>
      </x:c>
      <x:c r="F3" s="42" t="str">
        <x:v>Updated Value</x:v>
      </x:c>
      <x:c r="G3" s="42" t="str">
        <x:v>Date Updated</x:v>
      </x:c>
      <x:c r="H3" s="42" t="str">
        <x:v>Notes</x:v>
      </x:c>
      <x:c r="I3" s="43"/>
      <x:c r="J3" s="43"/>
      <x:c r="K3" s="43"/>
      <x:c r="L3" s="43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LoRa Frequency</x:v>
      </x:c>
      <x:c r="B4" s="43" t="str">
        <x:v>433 MHz / PH_433-compatible prototype setting</x:v>
      </x:c>
      <x:c r="C4" s="43" t="str">
        <x:v>ESP32 + Pi LoRa</x:v>
      </x:c>
      <x:c r="D4" s="43" t="str">
        <x:v>Available SX1278 Ra-02 hardware</x:v>
      </x:c>
      <x:c r="E4" s="43" t="str">
        <x:v>Yes</x:v>
      </x:c>
      <x:c r="F4" s="43" t="str"/>
      <x:c r="G4" s="43" t="str"/>
      <x:c r="H4" s="43" t="str">
        <x:v>Verify compliance for non-lab use.</x:v>
      </x:c>
      <x:c r="I4" s="43"/>
      <x:c r="J4" s="43"/>
      <x:c r="K4" s="43"/>
      <x:c r="L4" s="43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LoRa TX Power</x:v>
      </x:c>
      <x:c r="B5" s="43" t="str">
        <x:v>Start low; do not maximize during lab tests</x:v>
      </x:c>
      <x:c r="C5" s="43" t="str">
        <x:v>ESP32 + Pi LoRa</x:v>
      </x:c>
      <x:c r="D5" s="43" t="str">
        <x:v>Reduce interference and stay conservative</x:v>
      </x:c>
      <x:c r="E5" s="43" t="str">
        <x:v>Yes</x:v>
      </x:c>
      <x:c r="F5" s="43" t="str"/>
      <x:c r="G5" s="43" t="str"/>
      <x:c r="H5" s="43" t="str">
        <x:v>Document exact dBm after firmware phase.</x:v>
      </x:c>
      <x:c r="I5" s="43"/>
      <x:c r="J5" s="43"/>
      <x:c r="K5" s="43"/>
      <x:c r="L5" s="43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RSSI Degradation Threshold</x:v>
      </x:c>
      <x:c r="B6" s="43" t="str">
        <x:v>-78 dBm</x:v>
      </x:c>
      <x:c r="C6" s="43" t="str">
        <x:v>Routing/failover</x:v>
      </x:c>
      <x:c r="D6" s="43" t="str">
        <x:v>From project document; conservative quality threshold</x:v>
      </x:c>
      <x:c r="E6" s="43" t="str">
        <x:v>Yes</x:v>
      </x:c>
      <x:c r="F6" s="43" t="str"/>
      <x:c r="G6" s="43" t="str"/>
      <x:c r="H6" s="43" t="str">
        <x:v>Not hard LoRa failure threshold.</x:v>
      </x:c>
      <x:c r="I6" s="43"/>
      <x:c r="J6" s="43"/>
      <x:c r="K6" s="43"/>
      <x:c r="L6" s="43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RSSI Critical Threshold</x:v>
      </x:c>
      <x:c r="B7" s="43" t="str">
        <x:v>-95 dBm</x:v>
      </x:c>
      <x:c r="C7" s="43" t="str">
        <x:v>Routing/failover</x:v>
      </x:c>
      <x:c r="D7" s="43" t="str">
        <x:v>More realistic LoRa degradation marker</x:v>
      </x:c>
      <x:c r="E7" s="43" t="str">
        <x:v>Yes</x:v>
      </x:c>
      <x:c r="F7" s="43" t="str"/>
      <x:c r="G7" s="43" t="str"/>
      <x:c r="H7" s="43" t="str">
        <x:v>Tune after field tests.</x:v>
      </x:c>
      <x:c r="I7" s="43"/>
      <x:c r="J7" s="43"/>
      <x:c r="K7" s="43"/>
      <x:c r="L7" s="43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Failover Delay</x:v>
      </x:c>
      <x:c r="B8" s="43" t="str">
        <x:v>10 seconds</x:v>
      </x:c>
      <x:c r="C8" s="43" t="str">
        <x:v>Gateway logic</x:v>
      </x:c>
      <x:c r="D8" s="43" t="str">
        <x:v>From project document</x:v>
      </x:c>
      <x:c r="E8" s="43" t="str">
        <x:v>Yes</x:v>
      </x:c>
      <x:c r="F8" s="43" t="str"/>
      <x:c r="G8" s="43" t="str"/>
      <x:c r="H8" s="43" t="str">
        <x:v>Trigger after stable failure condition.</x:v>
      </x:c>
      <x:c r="I8" s="43"/>
      <x:c r="J8" s="43"/>
      <x:c r="K8" s="43"/>
      <x:c r="L8" s="43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Recovery Stable Time</x:v>
      </x:c>
      <x:c r="B9" s="43" t="str">
        <x:v>10 seconds</x:v>
      </x:c>
      <x:c r="C9" s="43" t="str">
        <x:v>Gateway logic</x:v>
      </x:c>
      <x:c r="D9" s="43" t="str">
        <x:v>Avoid flapping</x:v>
      </x:c>
      <x:c r="E9" s="43" t="str">
        <x:v>Yes</x:v>
      </x:c>
      <x:c r="F9" s="43" t="str"/>
      <x:c r="G9" s="43" t="str"/>
      <x:c r="H9" s="43" t="str">
        <x:v>Revert only after stable link.</x:v>
      </x:c>
      <x:c r="I9" s="43"/>
      <x:c r="J9" s="43"/>
      <x:c r="K9" s="43"/>
      <x:c r="L9" s="43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 t="str">
        <x:v>Satellite Sim Latency</x:v>
      </x:c>
      <x:c r="B10" s="43" t="str">
        <x:v>500-700 ms</x:v>
      </x:c>
      <x:c r="C10" s="43" t="str">
        <x:v>Pi tc/netem</x:v>
      </x:c>
      <x:c r="D10" s="43" t="str">
        <x:v>Project target</x:v>
      </x:c>
      <x:c r="E10" s="43" t="str">
        <x:v>Yes</x:v>
      </x:c>
      <x:c r="F10" s="43" t="str"/>
      <x:c r="G10" s="43" t="str"/>
      <x:c r="H10" s="43" t="str">
        <x:v>Apply on gateway interface.</x:v>
      </x:c>
      <x:c r="I10" s="43"/>
      <x:c r="J10" s="43"/>
      <x:c r="K10" s="43"/>
      <x:c r="L10" s="43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 t="str">
        <x:v>Max Hop Count</x:v>
      </x:c>
      <x:c r="B11" s="43" t="str">
        <x:v>3</x:v>
      </x:c>
      <x:c r="C11" s="43" t="str">
        <x:v>ESP32 mesh</x:v>
      </x:c>
      <x:c r="D11" s="43" t="str">
        <x:v>Small six-node prototype</x:v>
      </x:c>
      <x:c r="E11" s="43" t="str">
        <x:v>Yes</x:v>
      </x:c>
      <x:c r="F11" s="43" t="str"/>
      <x:c r="G11" s="43" t="str"/>
      <x:c r="H11" s="43" t="str">
        <x:v>Increase only after testing.</x:v>
      </x:c>
      <x:c r="I11" s="43"/>
      <x:c r="J11" s="43"/>
      <x:c r="K11" s="43"/>
      <x:c r="L11" s="43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 t="str">
        <x:v>ACK Retry Count</x:v>
      </x:c>
      <x:c r="B12" s="43" t="str">
        <x:v>3</x:v>
      </x:c>
      <x:c r="C12" s="43" t="str">
        <x:v>Messaging protocol</x:v>
      </x:c>
      <x:c r="D12" s="43" t="str">
        <x:v>Reliability vs airtime balance</x:v>
      </x:c>
      <x:c r="E12" s="43" t="str">
        <x:v>Yes</x:v>
      </x:c>
      <x:c r="F12" s="43" t="str"/>
      <x:c r="G12" s="43" t="str"/>
      <x:c r="H12" s="43" t="str">
        <x:v>Tune after PDR tests.</x:v>
      </x:c>
      <x:c r="I12" s="43"/>
      <x:c r="J12" s="43"/>
      <x:c r="K12" s="43"/>
      <x:c r="L12" s="43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 t="str">
        <x:v>Destination Not Local Rule</x:v>
      </x:c>
      <x:c r="B13" s="43" t="str">
        <x:v>Route to next network via gateway</x:v>
      </x:c>
      <x:c r="C13" s="43" t="str">
        <x:v>Gateway logic</x:v>
      </x:c>
      <x:c r="D13" s="43" t="str">
        <x:v>User requirement</x:v>
      </x:c>
      <x:c r="E13" s="43" t="str">
        <x:v>No</x:v>
      </x:c>
      <x:c r="F13" s="43" t="str"/>
      <x:c r="G13" s="43" t="str"/>
      <x:c r="H13" s="43" t="str">
        <x:v>If destination unknown locally, forward to remote gateway.</x:v>
      </x:c>
      <x:c r="I13" s="43"/>
      <x:c r="J13" s="43"/>
      <x:c r="K13" s="43"/>
      <x:c r="L13" s="43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189" t="str">
        <x:v>Stage 1 Development Configuration</x:v>
      </x:c>
      <x:c r="B15" s="189" t="str"/>
      <x:c r="C15" s="189" t="str"/>
      <x:c r="D15" s="189" t="str"/>
      <x:c r="E15" s="189" t="str"/>
      <x:c r="F15" s="189" t="str"/>
      <x:c r="G15" s="189" t="str"/>
      <x:c r="H15" s="189" t="str"/>
      <x:c r="I15" s="43"/>
      <x:c r="J15" s="43"/>
      <x:c r="K15" s="43"/>
      <x:c r="L15" s="43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 t="str">
        <x:v>Simulation</x:v>
      </x:c>
      <x:c r="B16" s="43" t="str">
        <x:v>Node IDs</x:v>
      </x:c>
      <x:c r="C16" s="43" t="str">
        <x:v>A1,A2,A3,B1,B2,B3</x:v>
      </x:c>
      <x:c r="D16" s="43" t="str">
        <x:v>Fixed for Stage 1</x:v>
      </x:c>
      <x:c r="E16" s="43" t="str">
        <x:v>simulation/manet_sim.py</x:v>
      </x:c>
      <x:c r="F16" s="43" t="n">
        <x:v>46147</x:v>
      </x:c>
      <x:c r="G16" s="43" t="str">
        <x:v>Completed</x:v>
      </x:c>
      <x:c r="H16" s="43" t="str">
        <x:v>Matches 6-node test requirement</x:v>
      </x:c>
      <x:c r="I16" s="43"/>
      <x:c r="J16" s="43"/>
      <x:c r="K16" s="43"/>
      <x:c r="L16" s="43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 t="str">
        <x:v>Simulation</x:v>
      </x:c>
      <x:c r="B17" s="43" t="str">
        <x:v>Gateways</x:v>
      </x:c>
      <x:c r="C17" s="43" t="str">
        <x:v>GWA,GWB</x:v>
      </x:c>
      <x:c r="D17" s="43" t="str">
        <x:v>Fixed for Stage 1</x:v>
      </x:c>
      <x:c r="E17" s="43" t="str">
        <x:v>simulation/manet_sim.py</x:v>
      </x:c>
      <x:c r="F17" s="43" t="n">
        <x:v>46147</x:v>
      </x:c>
      <x:c r="G17" s="43" t="str">
        <x:v>Completed</x:v>
      </x:c>
      <x:c r="H17" s="43" t="str">
        <x:v>One gateway per network</x:v>
      </x:c>
      <x:c r="I17" s="43"/>
      <x:c r="J17" s="43"/>
      <x:c r="K17" s="43"/>
      <x:c r="L17" s="43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 t="str">
        <x:v>Routing</x:v>
      </x:c>
      <x:c r="B18" s="43" t="str">
        <x:v>Remote destination rule</x:v>
      </x:c>
      <x:c r="C18" s="43" t="str">
        <x:v>If destination is not local, forward to next network via gateway/WiFi router path</x:v>
      </x:c>
      <x:c r="D18" s="43" t="str">
        <x:v>Active</x:v>
      </x:c>
      <x:c r="E18" s="43" t="str">
        <x:v>simulation/manet_sim.py</x:v>
      </x:c>
      <x:c r="F18" s="43" t="n">
        <x:v>46147</x:v>
      </x:c>
      <x:c r="G18" s="43" t="str">
        <x:v>Completed</x:v>
      </x:c>
      <x:c r="H18" s="43" t="str">
        <x:v>User clarification added</x:v>
      </x:c>
      <x:c r="I18" s="43"/>
      <x:c r="J18" s="43"/>
      <x:c r="K18" s="43"/>
      <x:c r="L18" s="43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 t="str">
        <x:v>Failover</x:v>
      </x:c>
      <x:c r="B19" s="43" t="str">
        <x:v>RSSI threshold</x:v>
      </x:c>
      <x:c r="C19" s="43" t="str">
        <x:v>-78 dBm</x:v>
      </x:c>
      <x:c r="D19" s="43" t="str">
        <x:v>DOCX control value</x:v>
      </x:c>
      <x:c r="E19" s="43" t="str">
        <x:v>simulation/manet_sim.py</x:v>
      </x:c>
      <x:c r="F19" s="43" t="n">
        <x:v>46147</x:v>
      </x:c>
      <x:c r="G19" s="43" t="str">
        <x:v>Completed</x:v>
      </x:c>
      <x:c r="H19" s="43" t="str">
        <x:v>Trigger when below threshold for 10 sec</x:v>
      </x:c>
      <x:c r="I19" s="43"/>
      <x:c r="J19" s="43"/>
      <x:c r="K19" s="43"/>
      <x:c r="L19" s="43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 t="str">
        <x:v>Failover</x:v>
      </x:c>
      <x:c r="B20" s="43" t="str">
        <x:v>Degradation timer</x:v>
      </x:c>
      <x:c r="C20" s="43" t="str">
        <x:v>10 sec</x:v>
      </x:c>
      <x:c r="D20" s="43" t="str">
        <x:v>DOCX control value</x:v>
      </x:c>
      <x:c r="E20" s="43" t="str">
        <x:v>simulation/manet_sim.py</x:v>
      </x:c>
      <x:c r="F20" s="43" t="n">
        <x:v>46147</x:v>
      </x:c>
      <x:c r="G20" s="43" t="str">
        <x:v>Completed</x:v>
      </x:c>
      <x:c r="H20" s="43" t="str">
        <x:v>Simulated timer in Stage 1</x:v>
      </x:c>
      <x:c r="I20" s="43"/>
      <x:c r="J20" s="43"/>
      <x:c r="K20" s="43"/>
      <x:c r="L20" s="43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 t="str">
        <x:v>Recovery</x:v>
      </x:c>
      <x:c r="B21" s="43" t="str">
        <x:v>Stable recovery timer</x:v>
      </x:c>
      <x:c r="C21" s="43" t="str">
        <x:v>10 sec</x:v>
      </x:c>
      <x:c r="D21" s="43" t="str">
        <x:v>DOCX control value</x:v>
      </x:c>
      <x:c r="E21" s="43" t="str">
        <x:v>simulation/manet_sim.py</x:v>
      </x:c>
      <x:c r="F21" s="43" t="n">
        <x:v>46147</x:v>
      </x:c>
      <x:c r="G21" s="43" t="str">
        <x:v>Completed</x:v>
      </x:c>
      <x:c r="H21" s="43" t="str">
        <x:v>Return to MANET</x:v>
      </x:c>
      <x:c r="I21" s="43"/>
      <x:c r="J21" s="43"/>
      <x:c r="K21" s="43"/>
      <x:c r="L21" s="43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 t="str">
        <x:v>Satellite Simulation</x:v>
      </x:c>
      <x:c r="B22" s="43" t="str">
        <x:v>Latency</x:v>
      </x:c>
      <x:c r="C22" s="43" t="str">
        <x:v>600 ms</x:v>
      </x:c>
      <x:c r="D22" s="43" t="str">
        <x:v>Within 500-700 ms range</x:v>
      </x:c>
      <x:c r="E22" s="43" t="str">
        <x:v>simulation/manet_sim.py</x:v>
      </x:c>
      <x:c r="F22" s="43" t="n">
        <x:v>46147</x:v>
      </x:c>
      <x:c r="G22" s="43" t="str">
        <x:v>Completed</x:v>
      </x:c>
      <x:c r="H22" s="43" t="str">
        <x:v>No real delay sleep yet</x:v>
      </x:c>
      <x:c r="I22" s="43"/>
      <x:c r="J22" s="43"/>
      <x:c r="K22" s="43"/>
      <x:c r="L22" s="43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 t="str">
        <x:v>ESP32</x:v>
      </x:c>
      <x:c r="B23" s="43" t="str">
        <x:v>LoRa frequency placeholder</x:v>
      </x:c>
      <x:c r="C23" s="43" t="str">
        <x:v>433 MHz</x:v>
      </x:c>
      <x:c r="D23" s="43" t="str">
        <x:v>Prototype value</x:v>
      </x:c>
      <x:c r="E23" s="43" t="str">
        <x:v>esp32_node/src/main.cpp</x:v>
      </x:c>
      <x:c r="F23" s="43" t="n">
        <x:v>46147</x:v>
      </x:c>
      <x:c r="G23" s="43" t="str">
        <x:v>In Progress</x:v>
      </x:c>
      <x:c r="H23" s="43" t="str">
        <x:v>Compliance and field limit review needed</x:v>
      </x:c>
      <x:c r="I23" s="43"/>
      <x:c r="J23" s="43"/>
      <x:c r="K23" s="43"/>
      <x:c r="L23" s="43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 t="str">
        <x:v>ESP32</x:v>
      </x:c>
      <x:c r="B24" s="43" t="str">
        <x:v>Tx power placeholder</x:v>
      </x:c>
      <x:c r="C24" s="43" t="str">
        <x:v>10 dBm</x:v>
      </x:c>
      <x:c r="D24" s="43" t="str">
        <x:v>Conservative starting value</x:v>
      </x:c>
      <x:c r="E24" s="43" t="str">
        <x:v>esp32_node/src/main.cpp</x:v>
      </x:c>
      <x:c r="F24" s="43" t="n">
        <x:v>46147</x:v>
      </x:c>
      <x:c r="G24" s="43" t="str">
        <x:v>In Progress</x:v>
      </x:c>
      <x:c r="H24" s="43" t="str">
        <x:v>Adjust only after compliance review</x:v>
      </x:c>
      <x:c r="I24" s="43"/>
      <x:c r="J24" s="43"/>
      <x:c r="K24" s="43"/>
      <x:c r="L24" s="43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32" hidden="0" customWidth="1"/>
    <x:col min="4" max="4" width="14" hidden="0" customWidth="1"/>
    <x:col min="5" max="5" width="12" hidden="0" customWidth="1"/>
    <x:col min="6" max="6" width="35" hidden="0" customWidth="1"/>
    <x:col min="7" max="7" width="32" hidden="0" customWidth="1"/>
    <x:col min="8" max="8" width="32" hidden="0" customWidth="1"/>
  </x:cols>
  <x:sheetData>
    <x:row r="1">
      <x:c r="A1" s="38" t="str">
        <x:v>Proposed Packet Protocol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Packet Type</x:v>
      </x:c>
      <x:c r="B3" s="42" t="str">
        <x:v>Required Fields</x:v>
      </x:c>
      <x:c r="C3" s="42" t="str">
        <x:v>Purpose</x:v>
      </x:c>
      <x:c r="D3" s="42" t="str">
        <x:v>ACK Required?</x:v>
      </x:c>
      <x:c r="E3" s="42" t="str">
        <x:v>Stored?</x:v>
      </x:c>
      <x:c r="F3" s="42" t="str">
        <x:v>Example</x:v>
      </x:c>
      <x:c r="G3" s="42" t="str">
        <x:v>ESP32 Role</x:v>
      </x:c>
      <x:c r="H3" s="42" t="str">
        <x:v>Gateway Role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HELLO</x:v>
      </x:c>
      <x:c r="B4" s="43" t="str">
        <x:v>type,node_id,network_id,battery,rssi_last,snr_last,uptime</x:v>
      </x:c>
      <x:c r="C4" s="43" t="str">
        <x:v>Neighbor discovery and health</x:v>
      </x:c>
      <x:c r="D4" s="43" t="str">
        <x:v>No</x:v>
      </x:c>
      <x:c r="E4" s="43" t="str">
        <x:v>Latest only</x:v>
      </x:c>
      <x:c r="F4" s="43" t="str">
        <x:v>HELLO A1 NET_A batt=82</x:v>
      </x:c>
      <x:c r="G4" s="43" t="str">
        <x:v>Broadcast periodically</x:v>
      </x:c>
      <x:c r="H4" s="43" t="str">
        <x:v>Update node table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MSG</x:v>
      </x:c>
      <x:c r="B5" s="43" t="str">
        <x:v>type,msg_id,src,dst,network_id,payload,ttl,path,timestamp</x:v>
      </x:c>
      <x:c r="C5" s="43" t="str">
        <x:v>User text message</x:v>
      </x:c>
      <x:c r="D5" s="43" t="str">
        <x:v>Yes</x:v>
      </x:c>
      <x:c r="E5" s="43" t="str">
        <x:v>Yes</x:v>
      </x:c>
      <x:c r="F5" s="43" t="str">
        <x:v>A1 to B2: emergency text</x:v>
      </x:c>
      <x:c r="G5" s="43" t="str">
        <x:v>Forward/receive/ACK</x:v>
      </x:c>
      <x:c r="H5" s="43" t="str">
        <x:v>Route local or remote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ACK</x:v>
      </x:c>
      <x:c r="B6" s="43" t="str">
        <x:v>type,msg_id,src,dst,status,path,timestamp</x:v>
      </x:c>
      <x:c r="C6" s="43" t="str">
        <x:v>Confirm delivery or relay acceptance</x:v>
      </x:c>
      <x:c r="D6" s="43" t="str">
        <x:v>No</x:v>
      </x:c>
      <x:c r="E6" s="43" t="str">
        <x:v>Yes</x:v>
      </x:c>
      <x:c r="F6" s="43" t="str">
        <x:v>ACK for MSG123</x:v>
      </x:c>
      <x:c r="G6" s="43" t="str">
        <x:v>Return to previous hop</x:v>
      </x:c>
      <x:c r="H6" s="43" t="str">
        <x:v>Update delivery state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ROUTE_ADV</x:v>
      </x:c>
      <x:c r="B7" s="43" t="str">
        <x:v>type,gateway_id,network_id,metric,hop_count</x:v>
      </x:c>
      <x:c r="C7" s="43" t="str">
        <x:v>Gateway/route advertisement</x:v>
      </x:c>
      <x:c r="D7" s="43" t="str">
        <x:v>No</x:v>
      </x:c>
      <x:c r="E7" s="43" t="str">
        <x:v>Latest only</x:v>
      </x:c>
      <x:c r="F7" s="43" t="str">
        <x:v>GWA advertises NET_A</x:v>
      </x:c>
      <x:c r="G7" s="43" t="str">
        <x:v>Store route score</x:v>
      </x:c>
      <x:c r="H7" s="43" t="str">
        <x:v>Advertise network reachability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NACK</x:v>
      </x:c>
      <x:c r="B8" s="43" t="str">
        <x:v>type,msg_id,reason,last_hop</x:v>
      </x:c>
      <x:c r="C8" s="43" t="str">
        <x:v>Signal failure</x:v>
      </x:c>
      <x:c r="D8" s="43" t="str">
        <x:v>No</x:v>
      </x:c>
      <x:c r="E8" s="43" t="str">
        <x:v>Yes</x:v>
      </x:c>
      <x:c r="F8" s="43" t="str">
        <x:v>Destination unreachable</x:v>
      </x:c>
      <x:c r="G8" s="43" t="str">
        <x:v>Try alternate route</x:v>
      </x:c>
      <x:c r="H8" s="43" t="str">
        <x:v>Trigger gateway forwarding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6" hidden="0" customWidth="1"/>
    <x:col min="4" max="4" width="34" hidden="0" customWidth="1"/>
    <x:col min="5" max="5" width="34" hidden="0" customWidth="1"/>
    <x:col min="6" max="6" width="34" hidden="0" customWidth="1"/>
    <x:col min="7" max="7" width="24" hidden="0" customWidth="1"/>
    <x:col min="8" max="8" width="16" hidden="0" customWidth="1"/>
  </x:cols>
  <x:sheetData>
    <x:row r="1">
      <x:c r="A1" s="170" t="str">
        <x:v>Routing &amp; Failover Logic - Test-Aligned</x:v>
      </x:c>
      <x:c r="B1" s="43"/>
      <x:c r="C1" s="43"/>
      <x:c r="D1" s="43"/>
      <x:c r="E1" s="43"/>
      <x:c r="F1" s="43"/>
      <x:c r="G1" s="43"/>
      <x:c r="H1" s="43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69" t="str">
        <x:v>Mode</x:v>
      </x:c>
      <x:c r="B3" s="169" t="str">
        <x:v>Trigger</x:v>
      </x:c>
      <x:c r="C3" s="169" t="str">
        <x:v>Primary Action</x:v>
      </x:c>
      <x:c r="D3" s="169" t="str">
        <x:v>Fallback Action</x:v>
      </x:c>
      <x:c r="E3" s="169" t="str">
        <x:v>Required Log Fields</x:v>
      </x:c>
      <x:c r="F3" s="169" t="str">
        <x:v>Acceptance Criteria</x:v>
      </x:c>
      <x:c r="G3" s="169" t="str">
        <x:v>Development Phase</x:v>
      </x:c>
      <x:c r="H3" s="169" t="str">
        <x:v>Status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t="str">
        <x:v>Baseline</x:v>
      </x:c>
      <x:c r="B4" t="str">
        <x:v>Startup / stable links</x:v>
      </x:c>
      <x:c r="C4" t="str">
        <x:v>6 nodes discover neighbors and exchange LoRa messages</x:v>
      </x:c>
      <x:c r="D4" t="str">
        <x:v>Keep simulated satellite inactive</x:v>
      </x:c>
      <x:c r="E4" t="str">
        <x:v>startup_time, neighbor_count, pdr, rssi, snr</x:v>
      </x:c>
      <x:c r="F4" t="str">
        <x:v>MANET forms ≤30 sec; PDR ≥95%; satellite inactive</x:v>
      </x:c>
      <x:c r="G4" t="str">
        <x:v>ESP32 + RPi simulation</x:v>
      </x:c>
      <x:c r="H4" t="str">
        <x:v>Pending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t="str">
        <x:v>Degradation Detection</x:v>
      </x:c>
      <x:c r="B5" t="str">
        <x:v>RSSI &lt; -78 dBm for 10 sec or repeated ACK failure</x:v>
      </x:c>
      <x:c r="C5" t="str">
        <x:v>Mark route degraded; record event</x:v>
      </x:c>
      <x:c r="D5" t="str">
        <x:v>Prepare gateway failover route</x:v>
      </x:c>
      <x:c r="E5" t="str">
        <x:v>rssi_min, snr, ack_fail_count, degrade_start, degrade_end</x:v>
      </x:c>
      <x:c r="F5" t="str">
        <x:v>Degradation detected after 10 sec</x:v>
      </x:c>
      <x:c r="G5" t="str">
        <x:v>ESP32 + RPi simulation</x:v>
      </x:c>
      <x:c r="H5" t="str">
        <x:v>Pending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t="str">
        <x:v>Failover Activation</x:v>
      </x:c>
      <x:c r="B6" t="str">
        <x:v>Route unavailable or destination not found locally</x:v>
      </x:c>
      <x:c r="C6" t="str">
        <x:v>Gateway forwards via WiFi-router simulated satellite</x:v>
      </x:c>
      <x:c r="D6" t="str">
        <x:v>Use GSM only if explicitly selected/available</x:v>
      </x:c>
      <x:c r="E6" t="str">
        <x:v>failover_start, failover_end, route_used, queue_depth</x:v>
      </x:c>
      <x:c r="F6" t="str">
        <x:v>Failover trigger time = 10 sec</x:v>
      </x:c>
      <x:c r="G6" t="str">
        <x:v>RPi gateway</x:v>
      </x:c>
      <x:c r="H6" t="str">
        <x:v>Pending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t="str">
        <x:v>Store &amp; Forward</x:v>
      </x:c>
      <x:c r="B7" t="str">
        <x:v>High latency or receiver unavailable</x:v>
      </x:c>
      <x:c r="C7" t="str">
        <x:v>Queue messages and retry until ACK</x:v>
      </x:c>
      <x:c r="D7" t="str">
        <x:v>Preserve FIFO order</x:v>
      </x:c>
      <x:c r="E7" t="str">
        <x:v>message_id, retry_count, queue_time, ack_time</x:v>
      </x:c>
      <x:c r="F7" t="str">
        <x:v>No message loss during recovery test</x:v>
      </x:c>
      <x:c r="G7" t="str">
        <x:v>RPi gateway</x:v>
      </x:c>
      <x:c r="H7" t="str">
        <x:v>Pending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t="str">
        <x:v>Recovery</x:v>
      </x:c>
      <x:c r="B8" t="str">
        <x:v>MANET route stable for 10 sec</x:v>
      </x:c>
      <x:c r="C8" t="str">
        <x:v>Switch back to primary LoRa route</x:v>
      </x:c>
      <x:c r="D8" t="str">
        <x:v>Deactivate simulated satellite path for normal traffic</x:v>
      </x:c>
      <x:c r="E8" t="str">
        <x:v>recovery_start, recovery_end, route_before, route_after</x:v>
      </x:c>
      <x:c r="F8" t="str">
        <x:v>Switchback ≤5 sec; no message loss</x:v>
      </x:c>
      <x:c r="G8" t="str">
        <x:v>RPi gateway</x:v>
      </x:c>
      <x:c r="H8" t="str">
        <x:v>Pending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t="str">
        <x:v>Manual App Selection</x:v>
      </x:c>
      <x:c r="B9" t="str">
        <x:v>User selects LoRa / WiFi / GSM</x:v>
      </x:c>
      <x:c r="C9" t="str">
        <x:v>Use selected interface when available</x:v>
      </x:c>
      <x:c r="D9" t="str">
        <x:v>Show unavailable warning if selected path fails</x:v>
      </x:c>
      <x:c r="E9" t="str">
        <x:v>selected_network, actual_network, error</x:v>
      </x:c>
      <x:c r="F9" t="str">
        <x:v>Manual mode must not break Auto mode tests</x:v>
      </x:c>
      <x:c r="G9" t="str">
        <x:v>Android app</x:v>
      </x:c>
      <x:c r="H9" t="str">
        <x:v>Pending</x:v>
      </x:c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/>
      <x:c r="B10"/>
      <x:c r="C10"/>
      <x:c r="D10"/>
      <x:c r="E10"/>
      <x:c r="F10"/>
      <x:c r="G10"/>
      <x:c r="H10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/>
      <x:c r="B11"/>
      <x:c r="C11"/>
      <x:c r="D11"/>
      <x:c r="E11"/>
      <x:c r="F11"/>
      <x:c r="G11"/>
      <x:c r="H11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/>
      <x:c r="B12"/>
      <x:c r="C12"/>
      <x:c r="D12"/>
      <x:c r="E12"/>
      <x:c r="F12"/>
      <x:c r="G12"/>
      <x:c r="H12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/>
      <x:c r="B13"/>
      <x:c r="C13"/>
      <x:c r="D13"/>
      <x:c r="E13"/>
      <x:c r="F13"/>
      <x:c r="G13"/>
      <x:c r="H13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1.31999969482422" hidden="0" customWidth="1"/>
    <x:col min="2" max="2" width="51.0099983215332" hidden="0" customWidth="1"/>
    <x:col min="3" max="3" width="20.860000610351562" hidden="0" customWidth="1"/>
    <x:col min="4" max="4" width="32" hidden="0" customWidth="1"/>
    <x:col min="5" max="5" width="32" hidden="0" customWidth="1"/>
    <x:col min="6" max="6" width="26.110000610351562" hidden="0" customWidth="1"/>
    <x:col min="7" max="7" width="24.229999542236328" hidden="0" customWidth="1"/>
    <x:col min="8" max="8" width="9.149999618530273" hidden="0" customWidth="1"/>
    <x:col min="9" max="9" width="19.920000076293945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199" t="str">
        <x:v>Simulation-First Development Plan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Simulation Item</x:v>
      </x:c>
      <x:c r="B3" s="42" t="str">
        <x:v>Description</x:v>
      </x:c>
      <x:c r="C3" s="42" t="str">
        <x:v>Output File/Module</x:v>
      </x:c>
      <x:c r="D3" s="42" t="str">
        <x:v>Inputs</x:v>
      </x:c>
      <x:c r="E3" s="42" t="str">
        <x:v>Expected Output</x:v>
      </x:c>
      <x:c r="F3" s="42" t="str">
        <x:v>Pass Criteria</x:v>
      </x:c>
      <x:c r="G3" s="42" t="str">
        <x:v>Priority</x:v>
      </x:c>
      <x:c r="H3" s="42" t="str">
        <x:v>Status</x:v>
      </x:c>
      <x:c r="I3" s="42" t="str">
        <x:v>Notes</x:v>
      </x:c>
      <x:c r="J3" s="43"/>
      <x:c r="K3" s="43"/>
      <x:c r="L3" s="43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Node simulator</x:v>
      </x:c>
      <x:c r="B4" s="43" t="str">
        <x:v>Emulates ESP32 node behavior: HELLO, MSG, ACK, retry, battery</x:v>
      </x:c>
      <x:c r="C4" s="43" t="str">
        <x:v>sim_node.py</x:v>
      </x:c>
      <x:c r="D4" s="43" t="str">
        <x:v>Node ID, network ID, links</x:v>
      </x:c>
      <x:c r="E4" s="43" t="str">
        <x:v>Console/log packets</x:v>
      </x:c>
      <x:c r="F4" s="43" t="str">
        <x:v>6 nodes run simultaneously</x:v>
      </x:c>
      <x:c r="G4" s="43" t="str">
        <x:v>High</x:v>
      </x:c>
      <x:c r="H4" s="43" t="str">
        <x:v>Not Started</x:v>
      </x:c>
      <x:c r="I4" s="43" t="str"/>
      <x:c r="J4" s="43"/>
      <x:c r="K4" s="43"/>
      <x:c r="L4" s="43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Gateway simulator</x:v>
      </x:c>
      <x:c r="B5" s="43" t="str">
        <x:v>Emulates Pi gateway and inter-network routing</x:v>
      </x:c>
      <x:c r="C5" s="43" t="str">
        <x:v>sim_gateway.py</x:v>
      </x:c>
      <x:c r="D5" s="43" t="str">
        <x:v>GWA/GWB config</x:v>
      </x:c>
      <x:c r="E5" s="43" t="str">
        <x:v>Routes unknown destinations to other network</x:v>
      </x:c>
      <x:c r="F5" s="43" t="str">
        <x:v>A1 to B2 delivery works</x:v>
      </x:c>
      <x:c r="G5" s="43" t="str">
        <x:v>High</x:v>
      </x:c>
      <x:c r="H5" s="43" t="str">
        <x:v>Not Started</x:v>
      </x:c>
      <x:c r="I5" s="43" t="str"/>
      <x:c r="J5" s="43"/>
      <x:c r="K5" s="43"/>
      <x:c r="L5" s="43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Network fault simulator</x:v>
      </x:c>
      <x:c r="B6" s="43" t="str">
        <x:v>Drops packets, lowers RSSI, adds delay</x:v>
      </x:c>
      <x:c r="C6" s="43" t="str">
        <x:v>sim_faults.py</x:v>
      </x:c>
      <x:c r="D6" s="43" t="str">
        <x:v>Fault profile</x:v>
      </x:c>
      <x:c r="E6" s="43" t="str">
        <x:v>Failover/recovery events</x:v>
      </x:c>
      <x:c r="F6" s="43" t="str">
        <x:v>Failover at 10s</x:v>
      </x:c>
      <x:c r="G6" s="43" t="str">
        <x:v>High</x:v>
      </x:c>
      <x:c r="H6" s="43" t="str">
        <x:v>Not Started</x:v>
      </x:c>
      <x:c r="I6" s="43" t="str"/>
      <x:c r="J6" s="43"/>
      <x:c r="K6" s="43"/>
      <x:c r="L6" s="43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Message store</x:v>
      </x:c>
      <x:c r="B7" s="43" t="str">
        <x:v>SQLite or JSONL logs for messages and events</x:v>
      </x:c>
      <x:c r="C7" s="43" t="str">
        <x:v>messages.db/logs</x:v>
      </x:c>
      <x:c r="D7" s="43" t="str">
        <x:v>Packets/events</x:v>
      </x:c>
      <x:c r="E7" s="43" t="str">
        <x:v>Traceable delivery status</x:v>
      </x:c>
      <x:c r="F7" s="43" t="str">
        <x:v>No duplicate delivered messages</x:v>
      </x:c>
      <x:c r="G7" s="43" t="str">
        <x:v>High</x:v>
      </x:c>
      <x:c r="H7" s="43" t="str">
        <x:v>Not Started</x:v>
      </x:c>
      <x:c r="I7" s="43" t="str"/>
      <x:c r="J7" s="43"/>
      <x:c r="K7" s="43"/>
      <x:c r="L7" s="43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Dashboard mock</x:v>
      </x:c>
      <x:c r="B8" s="43" t="str">
        <x:v>Optional local web view for simulation</x:v>
      </x:c>
      <x:c r="C8" s="43" t="str">
        <x:v>Flask app</x:v>
      </x:c>
      <x:c r="D8" s="43" t="str">
        <x:v>Sim state</x:v>
      </x:c>
      <x:c r="E8" s="43" t="str">
        <x:v>Node and route display</x:v>
      </x:c>
      <x:c r="F8" s="43" t="str">
        <x:v>Usable before hardware</x:v>
      </x:c>
      <x:c r="G8" s="43" t="str">
        <x:v>Medium</x:v>
      </x:c>
      <x:c r="H8" s="43" t="str">
        <x:v>Not Started</x:v>
      </x:c>
      <x:c r="I8" s="43" t="str"/>
      <x:c r="J8" s="43"/>
      <x:c r="K8" s="43"/>
      <x:c r="L8" s="43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189" t="str">
        <x:v>Stage 1 Simulation Results</x:v>
      </x:c>
      <x:c r="B10" s="189" t="str"/>
      <x:c r="C10" s="189" t="str"/>
      <x:c r="D10" s="189" t="str"/>
      <x:c r="E10" s="189" t="str"/>
      <x:c r="F10" s="189" t="str"/>
      <x:c r="G10" s="189" t="str"/>
      <x:c r="H10" s="189" t="str"/>
      <x:c r="I10" s="189" t="str"/>
      <x:c r="J10" s="43"/>
      <x:c r="K10" s="43"/>
      <x:c r="L10" s="43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 t="str">
        <x:v>Baseline</x:v>
      </x:c>
      <x:c r="B11" s="43" t="str">
        <x:v>6 simulated nodes</x:v>
      </x:c>
      <x:c r="C11" s="43" t="str">
        <x:v>A1-A3, B1-B3</x:v>
      </x:c>
      <x:c r="D11" s="43" t="str">
        <x:v>MANET forms &lt;=30s</x:v>
      </x:c>
      <x:c r="E11" s="43" t="str">
        <x:v>formation_sec=5</x:v>
      </x:c>
      <x:c r="F11" s="43" t="str">
        <x:v>PASS</x:v>
      </x:c>
      <x:c r="G11" s="43" t="str">
        <x:v>results/stage1_run_log.txt</x:v>
      </x:c>
      <x:c r="H11" s="43" t="n">
        <x:v>46147</x:v>
      </x:c>
      <x:c r="I11" s="43" t="str">
        <x:v>Simulation only</x:v>
      </x:c>
      <x:c r="J11" s="43"/>
      <x:c r="K11" s="43"/>
      <x:c r="L11" s="43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 t="str">
        <x:v>Local Delivery</x:v>
      </x:c>
      <x:c r="B12" s="43" t="str">
        <x:v>A1-&gt;A2, B1-&gt;B2</x:v>
      </x:c>
      <x:c r="C12" s="43" t="str">
        <x:v>LoRa MANET</x:v>
      </x:c>
      <x:c r="D12" s="43" t="str">
        <x:v>PDR &gt;=95%</x:v>
      </x:c>
      <x:c r="E12" s="43" t="str">
        <x:v>PDR=100%</x:v>
      </x:c>
      <x:c r="F12" s="43" t="str">
        <x:v>PASS</x:v>
      </x:c>
      <x:c r="G12" s="43" t="str">
        <x:v>results/stage1_run_log.txt</x:v>
      </x:c>
      <x:c r="H12" s="43" t="n">
        <x:v>46147</x:v>
      </x:c>
      <x:c r="I12" s="43" t="str">
        <x:v>ACK logic to expand later</x:v>
      </x:c>
      <x:c r="J12" s="43"/>
      <x:c r="K12" s="43"/>
      <x:c r="L12" s="43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 t="str">
        <x:v>Inter-network</x:v>
      </x:c>
      <x:c r="B13" s="43" t="str">
        <x:v>A1-&gt;B2</x:v>
      </x:c>
      <x:c r="C13" s="43" t="str">
        <x:v>Gateway/WiFi router path</x:v>
      </x:c>
      <x:c r="D13" s="43" t="str">
        <x:v>Destination not local routes to next network</x:v>
      </x:c>
      <x:c r="E13" s="43" t="str">
        <x:v>Delivered</x:v>
      </x:c>
      <x:c r="F13" s="43" t="str">
        <x:v>PASS</x:v>
      </x:c>
      <x:c r="G13" s="43" t="str">
        <x:v>results/stage1_run_log.txt</x:v>
      </x:c>
      <x:c r="H13" s="43" t="n">
        <x:v>46147</x:v>
      </x:c>
      <x:c r="I13" s="43" t="str">
        <x:v>GWA-&gt;Routers-&gt;GWB</x:v>
      </x:c>
      <x:c r="J13" s="43"/>
      <x:c r="K13" s="43"/>
      <x:c r="L13" s="43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 t="str">
        <x:v>Failover</x:v>
      </x:c>
      <x:c r="B14" s="43" t="str">
        <x:v>Network A degraded</x:v>
      </x:c>
      <x:c r="C14" s="43" t="str">
        <x:v>RSSI=-90</x:v>
      </x:c>
      <x:c r="D14" s="43" t="str">
        <x:v>Failover after 10 sec</x:v>
      </x:c>
      <x:c r="E14" s="43" t="str">
        <x:v>Triggered</x:v>
      </x:c>
      <x:c r="F14" s="43" t="str">
        <x:v>PASS</x:v>
      </x:c>
      <x:c r="G14" s="43" t="str">
        <x:v>results/stage1_run_log.txt</x:v>
      </x:c>
      <x:c r="H14" s="43" t="n">
        <x:v>46147</x:v>
      </x:c>
      <x:c r="I14" s="43" t="str">
        <x:v>Timer simulated</x:v>
      </x:c>
      <x:c r="J14" s="43"/>
      <x:c r="K14" s="43"/>
      <x:c r="L14" s="43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 t="str">
        <x:v>Recovery</x:v>
      </x:c>
      <x:c r="B15" s="43" t="str">
        <x:v>Network A recovered</x:v>
      </x:c>
      <x:c r="C15" s="43" t="str">
        <x:v>RSSI=-65</x:v>
      </x:c>
      <x:c r="D15" s="43" t="str">
        <x:v>Stable for 10 sec then return</x:v>
      </x:c>
      <x:c r="E15" s="43" t="str">
        <x:v>Recovered</x:v>
      </x:c>
      <x:c r="F15" s="43" t="str">
        <x:v>PASS</x:v>
      </x:c>
      <x:c r="G15" s="43" t="str">
        <x:v>results/stage1_run_log.txt</x:v>
      </x:c>
      <x:c r="H15" s="43" t="n">
        <x:v>46147</x:v>
      </x:c>
      <x:c r="I15" s="43" t="str">
        <x:v>Switch target &lt;=5 sec</x:v>
      </x:c>
      <x:c r="J15" s="43"/>
      <x:c r="K15" s="43"/>
      <x:c r="L15" s="43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 t="str">
        <x:v>Report</x:v>
      </x:c>
      <x:c r="B16" s="43" t="str">
        <x:v>JSON output</x:v>
      </x:c>
      <x:c r="C16" s="43" t="str">
        <x:v>simulation_report.json</x:v>
      </x:c>
      <x:c r="D16" s="43" t="str">
        <x:v>Logs saved</x:v>
      </x:c>
      <x:c r="E16" s="43" t="str">
        <x:v>Saved</x:v>
      </x:c>
      <x:c r="F16" s="43" t="str">
        <x:v>PASS</x:v>
      </x:c>
      <x:c r="G16" s="43" t="str">
        <x:v>results/simulation_report.json</x:v>
      </x:c>
      <x:c r="H16" s="43" t="n">
        <x:v>46147</x:v>
      </x:c>
      <x:c r="I16" s="43" t="str">
        <x:v>Included in ZIP</x:v>
      </x:c>
      <x:c r="J16" s="43"/>
      <x:c r="K16" s="43"/>
      <x:c r="L16" s="43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38" hidden="0" customWidth="1"/>
    <x:col min="4" max="4" width="28" hidden="0" customWidth="1"/>
    <x:col min="5" max="5" width="24" hidden="0" customWidth="1"/>
    <x:col min="6" max="6" width="20" hidden="0" customWidth="1"/>
    <x:col min="7" max="7" width="16" hidden="0" customWidth="1"/>
    <x:col min="8" max="8" width="45" hidden="0" customWidth="1"/>
  </x:cols>
  <x:sheetData>
    <x:row r="1">
      <x:c r="A1" s="170" t="str">
        <x:v>Android Messaging App Plan - Bluetooth / WiFi / GSM / LoRa</x:v>
      </x:c>
      <x:c r="B1" s="43"/>
      <x:c r="C1" s="43"/>
      <x:c r="D1" s="43"/>
      <x:c r="E1" s="43"/>
      <x:c r="F1" s="43"/>
      <x:c r="G1" s="43"/>
      <x:c r="H1" s="43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69" t="str">
        <x:v>Feature</x:v>
      </x:c>
      <x:c r="B3" s="169" t="str">
        <x:v>Purpose</x:v>
      </x:c>
      <x:c r="C3" s="169" t="str">
        <x:v>Minimum Requirement</x:v>
      </x:c>
      <x:c r="D3" s="169" t="str">
        <x:v>Test Impact</x:v>
      </x:c>
      <x:c r="E3" s="169" t="str">
        <x:v>Interface</x:v>
      </x:c>
      <x:c r="F3" s="169" t="str">
        <x:v>Phase</x:v>
      </x:c>
      <x:c r="G3" s="169" t="str">
        <x:v>Status</x:v>
      </x:c>
      <x:c r="H3" s="169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t="str">
        <x:v>Bluetooth pairing to ESP32 node</x:v>
      </x:c>
      <x:c r="B4" t="str">
        <x:v>Route messages to LoRa when WiFi/GSM are unavailable</x:v>
      </x:c>
      <x:c r="C4" t="str">
        <x:v>Pair one phone to one MANET node; reconnect automatically</x:v>
      </x:c>
      <x:c r="D4" t="str">
        <x:v>Required for end-to-end LoRa validation</x:v>
      </x:c>
      <x:c r="E4" t="str">
        <x:v>Bluetooth Serial/BLE</x:v>
      </x:c>
      <x:c r="F4" t="str">
        <x:v>Android Phase 1</x:v>
      </x:c>
      <x:c r="G4" t="str">
        <x:v>Pending</x:v>
      </x:c>
      <x:c r="H4" t="str">
        <x:v>Start with classic Bluetooth SPP if ESP32 Android compatibility is acceptable; BLE if needed.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t="str">
        <x:v>Auto network selection</x:v>
      </x:c>
      <x:c r="B5" t="str">
        <x:v>Select best available route</x:v>
      </x:c>
      <x:c r="C5" t="str">
        <x:v>Check WiFi, GSM, Bluetooth-LoRa status</x:v>
      </x:c>
      <x:c r="D5" t="str">
        <x:v>Supports degraded/failover behavior</x:v>
      </x:c>
      <x:c r="E5" t="str">
        <x:v>Android network APIs + BT status</x:v>
      </x:c>
      <x:c r="F5" t="str">
        <x:v>Android Phase 2</x:v>
      </x:c>
      <x:c r="G5" t="str">
        <x:v>Pending</x:v>
      </x:c>
      <x:c r="H5" t="str">
        <x:v>Auto should prefer local WiFi when valid, then GSM, then LoRa depending on policy; tests can force LoRa.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t="str">
        <x:v>Manual route selection</x:v>
      </x:c>
      <x:c r="B6" t="str">
        <x:v>User can choose LoRa, WiFi, or GSM</x:v>
      </x:c>
      <x:c r="C6" t="str">
        <x:v>Dropdown or segmented control</x:v>
      </x:c>
      <x:c r="D6" t="str">
        <x:v>Allows controlled test cases</x:v>
      </x:c>
      <x:c r="E6" t="str">
        <x:v>UI setting</x:v>
      </x:c>
      <x:c r="F6" t="str">
        <x:v>Android Phase 2</x:v>
      </x:c>
      <x:c r="G6" t="str">
        <x:v>Pending</x:v>
      </x:c>
      <x:c r="H6" t="str">
        <x:v>Manual setting must show selected and actual route.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t="str">
        <x:v>Message status</x:v>
      </x:c>
      <x:c r="B7" t="str">
        <x:v>Show sent, queued, delivered, failed</x:v>
      </x:c>
      <x:c r="C7" t="str">
        <x:v>Display ACK state and route used</x:v>
      </x:c>
      <x:c r="D7" t="str">
        <x:v>Needed for validation evidence</x:v>
      </x:c>
      <x:c r="E7" t="str">
        <x:v>Gateway/API + BT response</x:v>
      </x:c>
      <x:c r="F7" t="str">
        <x:v>Android Phase 2</x:v>
      </x:c>
      <x:c r="G7" t="str">
        <x:v>Pending</x:v>
      </x:c>
      <x:c r="H7" t="str">
        <x:v>Keep message IDs visible in debug mode.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t="str">
        <x:v>Simulation mode</x:v>
      </x:c>
      <x:c r="B8" t="str">
        <x:v>Test without real radios</x:v>
      </x:c>
      <x:c r="C8" t="str">
        <x:v>Mock route status and message delivery</x:v>
      </x:c>
      <x:c r="D8" t="str">
        <x:v>Used before hardware testing</x:v>
      </x:c>
      <x:c r="E8" t="str">
        <x:v>Local mock service</x:v>
      </x:c>
      <x:c r="F8" t="str">
        <x:v>Android Phase 0</x:v>
      </x:c>
      <x:c r="G8" t="str">
        <x:v>Pending</x:v>
      </x:c>
      <x:c r="H8" t="str">
        <x:v>Important because development starts in simulation.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/>
      <x:c r="B9"/>
      <x:c r="C9"/>
      <x:c r="D9"/>
      <x:c r="E9"/>
      <x:c r="F9"/>
      <x:c r="G9"/>
      <x:c r="H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/>
      <x:c r="B10"/>
      <x:c r="C10"/>
      <x:c r="D10"/>
      <x:c r="E10"/>
      <x:c r="F10"/>
      <x:c r="G10"/>
      <x:c r="H10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/>
      <x:c r="B11"/>
      <x:c r="C11"/>
      <x:c r="D11"/>
      <x:c r="E11"/>
      <x:c r="F11"/>
      <x:c r="G11"/>
      <x:c r="H11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/>
      <x:c r="B12"/>
      <x:c r="C12"/>
      <x:c r="D12"/>
      <x:c r="E12"/>
      <x:c r="F12"/>
      <x:c r="G12"/>
      <x:c r="H12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/>
      <x:c r="B13"/>
      <x:c r="C13"/>
      <x:c r="D13"/>
      <x:c r="E13"/>
      <x:c r="F13"/>
      <x:c r="G13"/>
      <x:c r="H13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36" hidden="0" customWidth="1"/>
    <x:col min="4" max="4" width="38" hidden="0" customWidth="1"/>
    <x:col min="5" max="5" width="32" hidden="0" customWidth="1"/>
    <x:col min="6" max="6" width="36" hidden="0" customWidth="1"/>
    <x:col min="7" max="7" width="32" hidden="0" customWidth="1"/>
    <x:col min="8" max="8" width="32" hidden="0" customWidth="1"/>
    <x:col min="9" max="9" width="30" hidden="0" customWidth="1"/>
    <x:col min="10" max="10" width="16" hidden="0" customWidth="1"/>
  </x:cols>
  <x:sheetData>
    <x:row r="1">
      <x:c r="A1" s="170" t="str">
        <x:v>Test Campaign - Pass/Fail Mapping to Updated Diagrams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69" t="str">
        <x:v>Test</x:v>
      </x:c>
      <x:c r="B3" s="169" t="str">
        <x:v>System Mode</x:v>
      </x:c>
      <x:c r="C3" s="169" t="str">
        <x:v>Required Setup</x:v>
      </x:c>
      <x:c r="D3" s="169" t="str">
        <x:v>Procedure Focus</x:v>
      </x:c>
      <x:c r="E3" s="169" t="str">
        <x:v>Measured Parameters</x:v>
      </x:c>
      <x:c r="F3" s="169" t="str">
        <x:v>Acceptance Criteria</x:v>
      </x:c>
      <x:c r="G3" s="169" t="str">
        <x:v>Diagram Reference</x:v>
      </x:c>
      <x:c r="H3" s="169" t="str">
        <x:v>Workbook Reference</x:v>
      </x:c>
      <x:c r="I3" s="169" t="str">
        <x:v>Evidence to Capture</x:v>
      </x:c>
      <x:c r="J3" s="169" t="str">
        <x:v>Status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t="str">
        <x:v>Baseline Operation</x:v>
      </x:c>
      <x:c r="B4" t="str">
        <x:v>Normal LoRa MANET</x:v>
      </x:c>
      <x:c r="C4" t="str">
        <x:v>6 ESP32 LoRa nodes, 2 gateways, satellite routers inactive</x:v>
      </x:c>
      <x:c r="D4" t="str">
        <x:v>Auto-discovery and periodic text packets</x:v>
      </x:c>
      <x:c r="E4" t="str">
        <x:v>RSSI, SNR, hop count, PDR, latency</x:v>
      </x:c>
      <x:c r="F4" t="str">
        <x:v>PDR ≥95%; MANET forms ≤30 sec; satellite inactive</x:v>
      </x:c>
      <x:c r="G4" t="str">
        <x:v>System Diagram + Data Flow steps 1-4</x:v>
      </x:c>
      <x:c r="H4" t="str">
        <x:v>Routing &amp; Failover row Baseline</x:v>
      </x:c>
      <x:c r="I4" t="str">
        <x:v>Startup logs, PDR report, screenshot</x:v>
      </x:c>
      <x:c r="J4" t="str">
        <x:v>Pending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t="str">
        <x:v>Network Degradation Detection</x:v>
      </x:c>
      <x:c r="B5" t="str">
        <x:v>Degraded MANET</x:v>
      </x:c>
      <x:c r="C5" t="str">
        <x:v>Same as baseline with distance/attenuation introduced</x:v>
      </x:c>
      <x:c r="D5" t="str">
        <x:v>Lower RSSI until threshold condition</x:v>
      </x:c>
      <x:c r="E5" t="str">
        <x:v>RSSI trend, detection time, route change</x:v>
      </x:c>
      <x:c r="F5" t="str">
        <x:v>RSSI &lt; -78 dBm for 10 sec must be detected</x:v>
      </x:c>
      <x:c r="G5" t="str">
        <x:v>Control Logic block</x:v>
      </x:c>
      <x:c r="H5" t="str">
        <x:v>Routing &amp; Failover row Degradation Detection</x:v>
      </x:c>
      <x:c r="I5" t="str">
        <x:v>RSSI log graph/table</x:v>
      </x:c>
      <x:c r="J5" t="str">
        <x:v>Pending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t="str">
        <x:v>Failover Activation</x:v>
      </x:c>
      <x:c r="B6" t="str">
        <x:v>Failover via simulated satellite</x:v>
      </x:c>
      <x:c r="C6" t="str">
        <x:v>MANET active, WiFi router-to-router link available</x:v>
      </x:c>
      <x:c r="D6" t="str">
        <x:v>Route unavailable or destination not found locally</x:v>
      </x:c>
      <x:c r="E6" t="str">
        <x:v>Trigger time, gateway status, queue depth</x:v>
      </x:c>
      <x:c r="F6" t="str">
        <x:v>Failover trigger time = 10 sec</x:v>
      </x:c>
      <x:c r="G6" t="str">
        <x:v>System Diagram failover path; Data Flow step 5</x:v>
      </x:c>
      <x:c r="H6" t="str">
        <x:v>Routing &amp; Failover row Failover Activation</x:v>
      </x:c>
      <x:c r="I6" t="str">
        <x:v>Gateway logs + message delivery proof</x:v>
      </x:c>
      <x:c r="J6" t="str">
        <x:v>Pending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t="str">
        <x:v>Sustained Emergency Operation</x:v>
      </x:c>
      <x:c r="B7" t="str">
        <x:v>Emergency operation</x:v>
      </x:c>
      <x:c r="C7" t="str">
        <x:v>Battery-powered nodes and gateways running</x:v>
      </x:c>
      <x:c r="D7" t="str">
        <x:v>Run for 24 hours with controlled events</x:v>
      </x:c>
      <x:c r="E7" t="str">
        <x:v>Uptime, battery, route stability, queue health</x:v>
      </x:c>
      <x:c r="F7" t="str">
        <x:v>Uptime ≥80%; no crash/deadlock</x:v>
      </x:c>
      <x:c r="G7" t="str">
        <x:v>System Diagram test-critical logic</x:v>
      </x:c>
      <x:c r="H7" t="str">
        <x:v>Simulation Plan + Progress Tracker</x:v>
      </x:c>
      <x:c r="I7" t="str">
        <x:v>24-hour service logs</x:v>
      </x:c>
      <x:c r="J7" t="str">
        <x:v>Pending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t="str">
        <x:v>Recovery and Reversion</x:v>
      </x:c>
      <x:c r="B8" t="str">
        <x:v>Recovery mode</x:v>
      </x:c>
      <x:c r="C8" t="str">
        <x:v>Start in failover, then restore MANET link quality</x:v>
      </x:c>
      <x:c r="D8" t="str">
        <x:v>Stable RSSI for 10 sec then switch back</x:v>
      </x:c>
      <x:c r="E8" t="str">
        <x:v>Recovery time, packet loss, route before/after</x:v>
      </x:c>
      <x:c r="F8" t="str">
        <x:v>Switchback ≤5 sec; no message loss</x:v>
      </x:c>
      <x:c r="G8" t="str">
        <x:v>Data Flow recovery row</x:v>
      </x:c>
      <x:c r="H8" t="str">
        <x:v>Routing &amp; Failover row Recovery</x:v>
      </x:c>
      <x:c r="I8" t="str">
        <x:v>Route-change logs + message ACKs</x:v>
      </x:c>
      <x:c r="J8" t="str">
        <x:v>Pending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/>
      <x:c r="B9"/>
      <x:c r="C9"/>
      <x:c r="D9"/>
      <x:c r="E9"/>
      <x:c r="F9"/>
      <x:c r="G9"/>
      <x:c r="H9"/>
      <x:c r="I9"/>
      <x:c r="J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/>
      <x:c r="B10"/>
      <x:c r="C10"/>
      <x:c r="D10"/>
      <x:c r="E10"/>
      <x:c r="F10"/>
      <x:c r="G10"/>
      <x:c r="H10"/>
      <x:c r="I10"/>
      <x:c r="J10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</x:mergeCells>
  <x:dataValidations count="1">
    <x:dataValidation type="list" sqref="H4:H100">
      <x:formula1>"Not Started,In Progress,Pass,Fail,Blocked"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.800000190734863" hidden="0" customWidth="1"/>
    <x:col min="2" max="2" width="24.760000228881836" hidden="0" customWidth="1"/>
    <x:col min="3" max="3" width="13.1899995803833" hidden="0" customWidth="1"/>
    <x:col min="4" max="4" width="32" hidden="0" customWidth="1"/>
    <x:col min="5" max="5" width="32" hidden="0" customWidth="1"/>
    <x:col min="6" max="6" width="23.280000686645508" hidden="0" customWidth="1"/>
    <x:col min="7" max="7" width="49.79999923706055" hidden="0" customWidth="1"/>
    <x:col min="8" max="8" width="44.00999832153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188" t="str">
        <x:v>Progress Log</x:v>
      </x:c>
      <x:c r="B1" s="189"/>
      <x:c r="C1" s="189"/>
      <x:c r="D1" s="189"/>
      <x:c r="E1" s="189"/>
      <x:c r="F1" s="189"/>
      <x:c r="G1" s="189"/>
      <x:c r="H1" s="189"/>
      <x:c r="I1" s="43"/>
      <x:c r="J1" s="43"/>
      <x:c r="K1" s="43"/>
      <x:c r="L1" s="43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Date</x:v>
      </x:c>
      <x:c r="B3" s="42" t="str">
        <x:v>Step ID</x:v>
      </x:c>
      <x:c r="C3" s="42" t="str">
        <x:v>What Was Done</x:v>
      </x:c>
      <x:c r="D3" s="42" t="str">
        <x:v>Result</x:v>
      </x:c>
      <x:c r="E3" s="42" t="str">
        <x:v>Evidence</x:v>
      </x:c>
      <x:c r="F3" s="42" t="str">
        <x:v>Updated By</x:v>
      </x:c>
      <x:c r="G3" s="42" t="str">
        <x:v>Next Step</x:v>
      </x:c>
      <x:c r="H3" s="42" t="str">
        <x:v>Notes</x:v>
      </x:c>
      <x:c r="I3" s="43"/>
      <x:c r="J3" s="43"/>
      <x:c r="K3" s="43"/>
      <x:c r="L3" s="43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179" t="str">
        <x:v>Stage 1</x:v>
      </x:c>
      <x:c r="B4" s="179" t="str">
        <x:v>Simulation foundation</x:v>
      </x:c>
      <x:c r="C4" s="179" t="str">
        <x:v>Completed</x:v>
      </x:c>
      <x:c r="D4" s="179" t="n">
        <x:v>46147</x:v>
      </x:c>
      <x:c r="E4" s="179" t="n">
        <x:v>46147</x:v>
      </x:c>
      <x:c r="F4" s="179" t="str">
        <x:v>PUP_MANET_Stage1_Dev.zip</x:v>
      </x:c>
      <x:c r="G4" s="179" t="str">
        <x:v>Simulation packet/routing/failover/recovery complete</x:v>
      </x:c>
      <x:c r="H4" s="179" t="str">
        <x:v>Proceed to ESP32 PlatformIO firmware implementation</x:v>
      </x:c>
      <x:c r="I4" s="43"/>
      <x:c r="J4" s="43"/>
      <x:c r="K4" s="43"/>
      <x:c r="L4" s="43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180" t="str">
        <x:v>Stage 2</x:v>
      </x:c>
      <x:c r="B5" s="180" t="str">
        <x:v>ESP32 LoRa node firmware</x:v>
      </x:c>
      <x:c r="C5" s="180" t="str">
        <x:v>Next</x:v>
      </x:c>
      <x:c r="D5" s="180"/>
      <x:c r="E5" s="180"/>
      <x:c r="F5" s="180" t="str"/>
      <x:c r="G5" s="180" t="str">
        <x:v>Create real packet send/receive, ACK, HELLO, Bluetooth bridge</x:v>
      </x:c>
      <x:c r="H5" s="180" t="str">
        <x:v>Open in VS Code PlatformIO</x:v>
      </x:c>
      <x:c r="I5" s="43"/>
      <x:c r="J5" s="43"/>
      <x:c r="K5" s="43"/>
      <x:c r="L5" s="43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Stage 3</x:v>
      </x:c>
      <x:c r="B6" s="43" t="str">
        <x:v>Raspberry Pi gateway</x:v>
      </x:c>
      <x:c r="C6" s="43" t="str">
        <x:v>Not Started</x:v>
      </x:c>
      <x:c r="D6" s="43"/>
      <x:c r="E6" s="43"/>
      <x:c r="F6" s="43" t="str"/>
      <x:c r="G6" s="43" t="str">
        <x:v>Direct SPI SX1278 + dashboard + DB</x:v>
      </x:c>
      <x:c r="H6" s="43" t="str"/>
      <x:c r="I6" s="43"/>
      <x:c r="J6" s="43"/>
      <x:c r="K6" s="43"/>
      <x:c r="L6" s="43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Stage 4</x:v>
      </x:c>
      <x:c r="B7" s="43" t="str">
        <x:v>WiFi-router satellite simulation</x:v>
      </x:c>
      <x:c r="C7" s="43" t="str">
        <x:v>Not Started</x:v>
      </x:c>
      <x:c r="D7" s="43"/>
      <x:c r="E7" s="43"/>
      <x:c r="F7" s="43" t="str"/>
      <x:c r="G7" s="43" t="str">
        <x:v>Router bridge + latency simulation</x:v>
      </x:c>
      <x:c r="H7" s="43" t="str"/>
      <x:c r="I7" s="43"/>
      <x:c r="J7" s="43"/>
      <x:c r="K7" s="43"/>
      <x:c r="L7" s="43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Stage 5</x:v>
      </x:c>
      <x:c r="B8" s="43" t="str">
        <x:v>Android messaging app</x:v>
      </x:c>
      <x:c r="C8" s="43" t="str">
        <x:v>Not Started</x:v>
      </x:c>
      <x:c r="D8" s="43"/>
      <x:c r="E8" s="43"/>
      <x:c r="F8" s="43" t="str"/>
      <x:c r="G8" s="43" t="str">
        <x:v>Bluetooth pairing + network selection UI</x:v>
      </x:c>
      <x:c r="H8" s="43" t="str"/>
      <x:c r="I8" s="43"/>
      <x:c r="J8" s="43"/>
      <x:c r="K8" s="43"/>
      <x:c r="L8" s="43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Stage 6</x:v>
      </x:c>
      <x:c r="B9" s="43" t="str">
        <x:v>Formal validation tests</x:v>
      </x:c>
      <x:c r="C9" s="43" t="str">
        <x:v>Not Started</x:v>
      </x:c>
      <x:c r="D9" s="43"/>
      <x:c r="E9" s="43"/>
      <x:c r="F9" s="43" t="str"/>
      <x:c r="G9" s="43" t="str">
        <x:v>Baseline/degradation/failover/24h/recovery</x:v>
      </x:c>
      <x:c r="H9" s="43" t="str"/>
      <x:c r="I9" s="43"/>
      <x:c r="J9" s="43"/>
      <x:c r="K9" s="43"/>
      <x:c r="L9" s="43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 t="str"/>
      <x:c r="B10" s="43" t="str"/>
      <x:c r="C10" s="43" t="str"/>
      <x:c r="D10" s="43" t="str"/>
      <x:c r="E10" s="43" t="str"/>
      <x:c r="F10" s="43" t="str"/>
      <x:c r="G10" s="43" t="str"/>
      <x:c r="H10" s="43" t="str"/>
      <x:c r="I10" s="43"/>
      <x:c r="J10" s="43"/>
      <x:c r="K10" s="43"/>
      <x:c r="L10" s="43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36" hidden="0" customWidth="1"/>
    <x:col min="5" max="5" width="42" hidden="0" customWidth="1"/>
    <x:col min="6" max="6" width="36" hidden="0" customWidth="1"/>
    <x:col min="7" max="7" width="42" hidden="0" customWidth="1"/>
    <x:col min="8" max="8" width="14" hidden="0" customWidth="1"/>
    <x:col min="9" max="9" width="36" hidden="0" customWidth="1"/>
  </x:cols>
  <x:sheetData>
    <x:row r="1">
      <x:c r="A1" s="38" t="str">
        <x:v>Issue / Troubleshooting Log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Issue ID</x:v>
      </x:c>
      <x:c r="B3" s="42" t="str">
        <x:v>Date</x:v>
      </x:c>
      <x:c r="C3" s="42" t="str">
        <x:v>Step ID</x:v>
      </x:c>
      <x:c r="D3" s="42" t="str">
        <x:v>Problem</x:v>
      </x:c>
      <x:c r="E3" s="42" t="str">
        <x:v>Error / Symptom</x:v>
      </x:c>
      <x:c r="F3" s="42" t="str">
        <x:v>Root Cause</x:v>
      </x:c>
      <x:c r="G3" s="42" t="str">
        <x:v>Fix Applied</x:v>
      </x:c>
      <x:c r="H3" s="42" t="str">
        <x:v>Status</x:v>
      </x:c>
      <x:c r="I3" s="42" t="str">
        <x:v>Notes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</x:mergeCells>
  <x:dataValidations count="1">
    <x:dataValidation type="list" sqref="H4:H100">
      <x:formula1>"Open,In Progress,Resolved,Deferred"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3.420000076293945" hidden="0" customWidth="1"/>
    <x:col min="2" max="2" width="9.149999618530273" hidden="0" customWidth="1"/>
    <x:col min="3" max="3" width="53.15999984741211" hidden="0" customWidth="1"/>
    <x:col min="4" max="4" width="32" hidden="0" customWidth="1"/>
    <x:col min="5" max="5" width="32" hidden="0" customWidth="1"/>
    <x:col min="6" max="6" width="34.45000076293945" hidden="0" customWidth="1"/>
    <x:col min="7" max="7" width="29.479999542236328" hidden="0" customWidth="1"/>
    <x:col min="8" max="8" width="40.50999832153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199" t="str">
        <x:v>Design Decision Log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Decision ID</x:v>
      </x:c>
      <x:c r="B3" s="42" t="str">
        <x:v>Date</x:v>
      </x:c>
      <x:c r="C3" s="42" t="str">
        <x:v>Decision</x:v>
      </x:c>
      <x:c r="D3" s="42" t="str">
        <x:v>Reason</x:v>
      </x:c>
      <x:c r="E3" s="42" t="str">
        <x:v>Alternatives Considered</x:v>
      </x:c>
      <x:c r="F3" s="42" t="str">
        <x:v>Impact</x:v>
      </x:c>
      <x:c r="G3" s="42" t="str">
        <x:v>Status</x:v>
      </x:c>
      <x:c r="H3" s="42" t="str">
        <x:v>Notes</x:v>
      </x:c>
      <x:c r="I3" s="43"/>
      <x:c r="J3" s="43"/>
      <x:c r="K3" s="43"/>
      <x:c r="L3" s="43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D1</x:v>
      </x:c>
      <x:c r="B4" s="50" t="n">
        <x:v>46146</x:v>
      </x:c>
      <x:c r="C4" s="43" t="str">
        <x:v>Use simulation-first workflow</x:v>
      </x:c>
      <x:c r="D4" s="43" t="str">
        <x:v>User has physical nodes but wants to start with simulation</x:v>
      </x:c>
      <x:c r="E4" s="43" t="str">
        <x:v>Hardware-first development</x:v>
      </x:c>
      <x:c r="F4" s="43" t="str">
        <x:v>Reduces debugging risk</x:v>
      </x:c>
      <x:c r="G4" s="43" t="str">
        <x:v>Accepted</x:v>
      </x:c>
      <x:c r="H4" s="43" t="str"/>
      <x:c r="I4" s="43"/>
      <x:c r="J4" s="43"/>
      <x:c r="K4" s="43"/>
      <x:c r="L4" s="43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D2</x:v>
      </x:c>
      <x:c r="B5" s="50" t="n">
        <x:v>46146</x:v>
      </x:c>
      <x:c r="C5" s="43" t="str">
        <x:v>Start with controlled reliable mesh instead of full AODV</x:v>
      </x:c>
      <x:c r="D5" s="43" t="str">
        <x:v>AODV on LoRa ESP32 is complex and hard to debug initially</x:v>
      </x:c>
      <x:c r="E5" s="43" t="str">
        <x:v>Full AODV immediately</x:v>
      </x:c>
      <x:c r="F5" s="43" t="str">
        <x:v>Faster prototype; can evolve later</x:v>
      </x:c>
      <x:c r="G5" s="43" t="str">
        <x:v>Recommended</x:v>
      </x:c>
      <x:c r="H5" s="43" t="str"/>
      <x:c r="I5" s="43"/>
      <x:c r="J5" s="43"/>
      <x:c r="K5" s="43"/>
      <x:c r="L5" s="43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D3</x:v>
      </x:c>
      <x:c r="B6" s="50" t="n">
        <x:v>46146</x:v>
      </x:c>
      <x:c r="C6" s="43" t="str">
        <x:v>If destination is not local, route to next network via gateway</x:v>
      </x:c>
      <x:c r="D6" s="43" t="str">
        <x:v>User requirement</x:v>
      </x:c>
      <x:c r="E6" s="43" t="str">
        <x:v>Drop unknown destinations</x:v>
      </x:c>
      <x:c r="F6" s="43" t="str">
        <x:v>Enables Network A to B messaging</x:v>
      </x:c>
      <x:c r="G6" s="43" t="str">
        <x:v>Accepted</x:v>
      </x:c>
      <x:c r="H6" s="43" t="str"/>
      <x:c r="I6" s="43"/>
      <x:c r="J6" s="43"/>
      <x:c r="K6" s="43"/>
      <x:c r="L6" s="43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D4</x:v>
      </x:c>
      <x:c r="B7" s="50" t="n">
        <x:v>46146</x:v>
      </x:c>
      <x:c r="C7" s="43" t="str">
        <x:v>Develop ESP32 code, then Raspberry Pi gateway, then Android app</x:v>
      </x:c>
      <x:c r="D7" s="43" t="str">
        <x:v>User requested order</x:v>
      </x:c>
      <x:c r="E7" s="43" t="str">
        <x:v>Android first</x:v>
      </x:c>
      <x:c r="F7" s="43" t="str">
        <x:v>Ensures app integrates with stable backend</x:v>
      </x:c>
      <x:c r="G7" s="43" t="str">
        <x:v>Accepted</x:v>
      </x:c>
      <x:c r="H7" s="43" t="str"/>
      <x:c r="I7" s="43"/>
      <x:c r="J7" s="43"/>
      <x:c r="K7" s="43"/>
      <x:c r="L7" s="43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179" t="str">
        <x:v>D-Stage1-001</x:v>
      </x:c>
      <x:c r="B8" s="190" t="n">
        <x:v>46147</x:v>
      </x:c>
      <x:c r="C8" s="179" t="str">
        <x:v>Simulation-first development</x:v>
      </x:c>
      <x:c r="D8" s="179" t="str">
        <x:v>Start with software simulation before hardware wiring</x:v>
      </x:c>
      <x:c r="E8" s="179" t="str">
        <x:v>Reduces confusion and validates DOCX test procedures first</x:v>
      </x:c>
      <x:c r="F8" s="179" t="str">
        <x:v>Accepted</x:v>
      </x:c>
      <x:c r="G8" s="179" t="str">
        <x:v>Stage 1 code package</x:v>
      </x:c>
      <x:c r="H8" s="179" t="str">
        <x:v>Proceed to ESP32 firmware after simulation review</x:v>
      </x:c>
      <x:c r="I8" s="43"/>
      <x:c r="J8" s="43"/>
      <x:c r="K8" s="43"/>
      <x:c r="L8" s="43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179" t="str">
        <x:v>D-Stage1-002</x:v>
      </x:c>
      <x:c r="B9" s="179" t="n">
        <x:v>46147</x:v>
      </x:c>
      <x:c r="C9" s="179" t="str">
        <x:v>Cross-network routing rule</x:v>
      </x:c>
      <x:c r="D9" s="179" t="str">
        <x:v>If destination is not found in current network, route through gateway to the next network</x:v>
      </x:c>
      <x:c r="E9" s="179" t="str">
        <x:v>User clarification; required for two-network messaging</x:v>
      </x:c>
      <x:c r="F9" s="179" t="str">
        <x:v>Accepted</x:v>
      </x:c>
      <x:c r="G9" s="179" t="str">
        <x:v>simulation/manet_sim.py</x:v>
      </x:c>
      <x:c r="H9" s="179" t="str">
        <x:v>Carry into ESP32/RPi protocol</x:v>
      </x:c>
      <x:c r="I9" s="43"/>
      <x:c r="J9" s="43"/>
      <x:c r="K9" s="43"/>
      <x:c r="L9" s="43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179" t="str">
        <x:v>D-Stage1-003</x:v>
      </x:c>
      <x:c r="B10" s="179" t="n">
        <x:v>46147</x:v>
      </x:c>
      <x:c r="C10" s="179" t="str">
        <x:v>Android pairing model</x:v>
      </x:c>
      <x:c r="D10" s="179" t="str">
        <x:v>Each ESP32 MANET node will pair to one Android phone via Bluetooth</x:v>
      </x:c>
      <x:c r="E10" s="179" t="str">
        <x:v>Required when WiFi/GSM are unavailable</x:v>
      </x:c>
      <x:c r="F10" s="179" t="str">
        <x:v>Accepted</x:v>
      </x:c>
      <x:c r="G10" s="179" t="str">
        <x:v>Architecture diagrams and workbook</x:v>
      </x:c>
      <x:c r="H10" s="179" t="str">
        <x:v>Implement after ESP32 LoRa packet layer</x:v>
      </x:c>
      <x:c r="I10" s="43"/>
      <x:c r="J10" s="43"/>
      <x:c r="K10" s="43"/>
      <x:c r="L10" s="43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179" t="str">
        <x:v>D-Stage1-004</x:v>
      </x:c>
      <x:c r="B11" s="179" t="n">
        <x:v>46147</x:v>
      </x:c>
      <x:c r="C11" s="179" t="str">
        <x:v>Manual/Auto transport selection</x:v>
      </x:c>
      <x:c r="D11" s="179" t="str">
        <x:v>Android app will allow Auto, GSM, WiFi, or LoRa selection</x:v>
      </x:c>
      <x:c r="E11" s="179" t="str">
        <x:v>Allows test flexibility and emergency operation</x:v>
      </x:c>
      <x:c r="F11" s="179" t="str">
        <x:v>Accepted</x:v>
      </x:c>
      <x:c r="G11" s="179" t="str">
        <x:v>Android App Plan</x:v>
      </x:c>
      <x:c r="H11" s="179" t="str">
        <x:v>Implement in Android phase</x:v>
      </x:c>
      <x:c r="I11" s="43"/>
      <x:c r="J11" s="43"/>
      <x:c r="K11" s="43"/>
      <x:c r="L11" s="43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 t="str"/>
      <x:c r="B12" s="43" t="str"/>
      <x:c r="C12" s="43" t="str"/>
      <x:c r="D12" s="43" t="str"/>
      <x:c r="E12" s="43" t="str"/>
      <x:c r="F12" s="43" t="str"/>
      <x:c r="G12" s="43" t="str"/>
      <x:c r="H12" s="43" t="str"/>
      <x:c r="I12" s="43"/>
      <x:c r="J12" s="43"/>
      <x:c r="K12" s="43"/>
      <x:c r="L12" s="43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2" customHeight="1">
      <x:c r="A1" s="165" t="str">
        <x:v>System Architecture Diagram - Test Procedure Aligned</x:v>
      </x:c>
    </x:row>
    <x:row r="2" ht="22" customHeight="1">
      <x:c r="A2" s="177" t="str">
        <x:v>Updated to prioritize DOCX test procedures: baseline MANET, RSSI degradation detection, failover activation, sustained operation, and recovery.</x:v>
      </x:c>
    </x:row>
    <x:row r="3" ht="22" customHeight="1">
      <x:c r="A3"/>
      <x:c r="I3"/>
    </x:row>
    <x:row r="4" ht="22" customHeight="1"/>
    <x:row r="5" ht="22" customHeight="1">
      <x:c r="B5"/>
      <x:c r="C5"/>
      <x:c r="D5"/>
      <x:c r="E5"/>
      <x:c r="J5"/>
      <x:c r="K5"/>
      <x:c r="L5"/>
      <x:c r="M5"/>
    </x:row>
    <x:row r="6" ht="22" customHeight="1">
      <x:c r="B6"/>
      <x:c r="C6"/>
      <x:c r="D6"/>
      <x:c r="E6"/>
      <x:c r="J6"/>
      <x:c r="K6"/>
      <x:c r="L6"/>
      <x:c r="M6"/>
    </x:row>
    <x:row r="7" ht="22" customHeight="1">
      <x:c r="C7"/>
      <x:c r="D7"/>
      <x:c r="K7"/>
      <x:c r="L7"/>
    </x:row>
    <x:row r="8" ht="22" customHeight="1">
      <x:c r="C8"/>
      <x:c r="D8"/>
      <x:c r="K8"/>
      <x:c r="L8"/>
    </x:row>
    <x:row r="9" ht="22" customHeight="1">
      <x:c r="C9"/>
      <x:c r="D9"/>
      <x:c r="K9"/>
      <x:c r="L9"/>
    </x:row>
    <x:row r="10" ht="22" customHeight="1">
      <x:c r="C10"/>
      <x:c r="K10"/>
    </x:row>
    <x:row r="11" ht="22" customHeight="1">
      <x:c r="B11"/>
      <x:c r="C11"/>
      <x:c r="D11"/>
      <x:c r="E11"/>
      <x:c r="J11"/>
      <x:c r="K11"/>
      <x:c r="L11"/>
      <x:c r="M11"/>
    </x:row>
    <x:row r="12" ht="22" customHeight="1">
      <x:c r="B12"/>
      <x:c r="C12"/>
      <x:c r="D12"/>
      <x:c r="E12"/>
      <x:c r="J12"/>
      <x:c r="K12"/>
      <x:c r="L12"/>
      <x:c r="M12"/>
    </x:row>
    <x:row r="13" ht="22" customHeight="1">
      <x:c r="C13"/>
      <x:c r="D13"/>
      <x:c r="K13"/>
      <x:c r="L13"/>
    </x:row>
    <x:row r="14" ht="22" customHeight="1">
      <x:c r="C14"/>
      <x:c r="D14"/>
      <x:c r="K14"/>
      <x:c r="L14"/>
    </x:row>
    <x:row r="15" ht="22" customHeight="1">
      <x:c r="C15"/>
      <x:c r="D15"/>
      <x:c r="K15"/>
      <x:c r="L15"/>
    </x:row>
    <x:row r="16" ht="22" customHeight="1">
      <x:c r="C16"/>
      <x:c r="K16"/>
    </x:row>
    <x:row r="17" ht="22" customHeight="1"/>
    <x:row r="18" ht="22" customHeight="1">
      <x:c r="B18"/>
      <x:c r="C18"/>
      <x:c r="D18"/>
      <x:c r="E18"/>
      <x:c r="J18"/>
      <x:c r="K18"/>
      <x:c r="L18"/>
      <x:c r="M18"/>
    </x:row>
    <x:row r="19" ht="22" customHeight="1">
      <x:c r="B19"/>
      <x:c r="C19"/>
      <x:c r="D19"/>
      <x:c r="E19"/>
      <x:c r="J19"/>
      <x:c r="K19"/>
      <x:c r="L19"/>
      <x:c r="M19"/>
    </x:row>
    <x:row r="20" ht="22" customHeight="1">
      <x:c r="B20"/>
      <x:c r="C20"/>
      <x:c r="D20"/>
      <x:c r="E20"/>
      <x:c r="J20"/>
      <x:c r="K20"/>
      <x:c r="L20"/>
      <x:c r="M20"/>
    </x:row>
    <x:row r="21" ht="22" customHeight="1">
      <x:c r="C21"/>
      <x:c r="K21"/>
    </x:row>
    <x:row r="22" ht="22" customHeight="1"/>
    <x:row r="23" ht="22" customHeight="1">
      <x:c r="B23"/>
      <x:c r="C23"/>
      <x:c r="D23"/>
      <x:c r="E23"/>
      <x:c r="J23"/>
      <x:c r="K23"/>
      <x:c r="L23"/>
      <x:c r="M23"/>
    </x:row>
    <x:row r="24" ht="22" customHeight="1">
      <x:c r="B24"/>
      <x:c r="C24"/>
      <x:c r="D24"/>
      <x:c r="E24"/>
      <x:c r="J24"/>
      <x:c r="K24"/>
      <x:c r="L24"/>
      <x:c r="M24"/>
    </x:row>
    <x:row r="25" ht="22" customHeight="1">
      <x:c r="D25"/>
      <x:c r="J25"/>
    </x:row>
    <x:row r="26" ht="22" customHeight="1">
      <x:c r="G26"/>
      <x:c r="H26"/>
    </x:row>
    <x:row r="27" ht="22" customHeight="1">
      <x:c r="F27"/>
      <x:c r="G27"/>
      <x:c r="H27"/>
      <x:c r="I27"/>
    </x:row>
    <x:row r="28" ht="22" customHeight="1">
      <x:c r="G28"/>
      <x:c r="H28"/>
    </x:row>
    <x:row r="29" ht="22" customHeight="1"/>
    <x:row r="30" ht="22" customHeight="1"/>
    <x:row r="31" ht="22" customHeight="1">
      <x:c r="A31"/>
    </x:row>
    <x:row r="32" ht="22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</x:row>
    <x:row r="33" ht="22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</x:row>
    <x:row r="34" ht="22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</x:row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</x:sheetData>
  <x:mergeCells>
    <x:mergeCell ref="A1:N1"/>
    <x:mergeCell ref="A3:F3"/>
    <x:mergeCell ref="I3:N3"/>
    <x:mergeCell ref="B5:C6"/>
    <x:mergeCell ref="D5:E6"/>
    <x:mergeCell ref="C8:D9"/>
    <x:mergeCell ref="B11:C12"/>
    <x:mergeCell ref="D11:E12"/>
    <x:mergeCell ref="C14:D15"/>
    <x:mergeCell ref="B18:E20"/>
    <x:mergeCell ref="B23:E24"/>
    <x:mergeCell ref="J5:K6"/>
    <x:mergeCell ref="L5:M6"/>
    <x:mergeCell ref="K8:L9"/>
    <x:mergeCell ref="J11:K12"/>
    <x:mergeCell ref="L11:M12"/>
    <x:mergeCell ref="K14:L15"/>
    <x:mergeCell ref="J18:M20"/>
    <x:mergeCell ref="J23:M24"/>
    <x:mergeCell ref="G26:H28"/>
    <x:mergeCell ref="A31:N31"/>
    <x:mergeCell ref="B32:N32"/>
    <x:mergeCell ref="B33:N33"/>
    <x:mergeCell ref="B34:N34"/>
    <x:mergeCell ref="A2:N2"/>
  </x:mergeCells>
  <x:pageMargins left="0.7" right="0.7" top="0.75" bottom="0.75" header="0.3" footer="0.3"/>
  <x:drawing xmlns:r="http://schemas.openxmlformats.org/officeDocument/2006/relationships" r:id="Rd5f65d2aeb82409f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2" customHeight="1">
      <x:c r="A1" s="165" t="str">
        <x:v>Message / Data Flow Diagram - Test Procedure Aligned</x:v>
      </x:c>
    </x:row>
    <x:row r="2" ht="22" customHeight="1">
      <x:c r="A2" s="177" t="str">
        <x:v>Updated to prioritize DOCX test procedures: baseline MANET, RSSI degradation detection, failover activation, sustained operation, and recovery.</x:v>
      </x:c>
    </x:row>
    <x:row r="3" ht="22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22" customHeight="1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</x:row>
    <x:row r="5" ht="22" customHeight="1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</x:row>
    <x:row r="6" ht="22" customHeight="1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</x:row>
    <x:row r="7" ht="22" customHeigh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</x:row>
    <x:row r="8" ht="22" customHeight="1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</x:row>
    <x:row r="9" ht="22" customHeight="1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</x:row>
    <x:row r="10" ht="22" customHeight="1"/>
    <x:row r="11" ht="22" customHeight="1"/>
    <x:row r="12" ht="22" customHeight="1">
      <x:c r="A12"/>
    </x:row>
    <x:row r="13" ht="22" customHeight="1"/>
    <x:row r="14" ht="22" customHeight="1">
      <x:c r="A14"/>
      <x:c r="B14"/>
      <x:c r="D14"/>
      <x:c r="E14"/>
      <x:c r="G14"/>
      <x:c r="H14"/>
      <x:c r="J14"/>
      <x:c r="K14"/>
      <x:c r="M14"/>
      <x:c r="N14"/>
    </x:row>
    <x:row r="15" ht="22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 ht="22" customHeight="1">
      <x:c r="A16"/>
      <x:c r="B16"/>
      <x:c r="D16"/>
      <x:c r="E16"/>
      <x:c r="G16"/>
      <x:c r="H16"/>
      <x:c r="J16"/>
      <x:c r="K16"/>
      <x:c r="M16"/>
      <x:c r="N16"/>
    </x:row>
    <x:row r="17" ht="22" customHeight="1"/>
    <x:row r="18" ht="22" customHeight="1">
      <x:c r="E18"/>
      <x:c r="J18"/>
    </x:row>
    <x:row r="19" ht="22" customHeight="1"/>
    <x:row r="20" ht="22" customHeight="1">
      <x:c r="D20"/>
      <x:c r="E20"/>
      <x:c r="G20"/>
      <x:c r="H20"/>
      <x:c r="J20"/>
      <x:c r="K20"/>
    </x:row>
    <x:row r="21" ht="22" customHeight="1">
      <x:c r="D21"/>
      <x:c r="E21"/>
      <x:c r="F21"/>
      <x:c r="G21"/>
      <x:c r="H21"/>
      <x:c r="I21"/>
      <x:c r="J21"/>
      <x:c r="K21"/>
    </x:row>
    <x:row r="22" ht="22" customHeight="1">
      <x:c r="D22"/>
      <x:c r="E22"/>
      <x:c r="G22"/>
      <x:c r="H22"/>
      <x:c r="J22"/>
      <x:c r="K22"/>
    </x:row>
    <x:row r="23" ht="22" customHeight="1"/>
    <x:row r="24" ht="22" customHeight="1"/>
    <x:row r="25" ht="22" customHeight="1"/>
    <x:row r="26" ht="22" customHeight="1">
      <x:c r="A26"/>
    </x:row>
    <x:row r="27" ht="22" customHeight="1">
      <x:c r="A27"/>
      <x:c r="B27"/>
      <x:c r="C27"/>
      <x:c r="D27"/>
      <x:c r="E27"/>
      <x:c r="F27"/>
    </x:row>
    <x:row r="28" ht="22" customHeight="1">
      <x:c r="A28"/>
      <x:c r="B28"/>
      <x:c r="C28"/>
      <x:c r="D28"/>
      <x:c r="E28"/>
      <x:c r="F28"/>
    </x:row>
    <x:row r="29" ht="22" customHeight="1">
      <x:c r="A29"/>
      <x:c r="B29"/>
      <x:c r="C29"/>
      <x:c r="D29"/>
      <x:c r="E29"/>
      <x:c r="F29"/>
    </x:row>
    <x:row r="30" ht="22" customHeight="1">
      <x:c r="A30"/>
      <x:c r="B30"/>
      <x:c r="C30"/>
      <x:c r="D30"/>
      <x:c r="E30"/>
      <x:c r="F30"/>
    </x:row>
    <x:row r="31" ht="22" customHeight="1">
      <x:c r="A31"/>
      <x:c r="B31"/>
      <x:c r="C31"/>
      <x:c r="D31"/>
      <x:c r="E31"/>
      <x:c r="F31"/>
    </x:row>
    <x:row r="32" ht="22" customHeight="1">
      <x:c r="A32"/>
      <x:c r="B32"/>
      <x:c r="C32"/>
      <x:c r="D32"/>
      <x:c r="E32"/>
      <x:c r="F32"/>
    </x:row>
    <x:row r="33" ht="22" customHeight="1">
      <x:c r="A33"/>
      <x:c r="B33"/>
      <x:c r="C33"/>
      <x:c r="D33"/>
      <x:c r="E33"/>
      <x:c r="F33"/>
    </x:row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</x:sheetData>
  <x:mergeCells>
    <x:mergeCell ref="A1:N1"/>
    <x:mergeCell ref="A12:N12"/>
    <x:mergeCell ref="A14:B16"/>
    <x:mergeCell ref="D14:E16"/>
    <x:mergeCell ref="G14:H16"/>
    <x:mergeCell ref="J14:K16"/>
    <x:mergeCell ref="M14:N16"/>
    <x:mergeCell ref="D20:E22"/>
    <x:mergeCell ref="G20:H22"/>
    <x:mergeCell ref="J20:K22"/>
    <x:mergeCell ref="A26:N26"/>
    <x:mergeCell ref="A2:N2"/>
  </x:mergeCells>
  <x:pageMargins left="0.7" right="0.7" top="0.75" bottom="0.75" header="0.3" footer="0.3"/>
  <x:drawing xmlns:r="http://schemas.openxmlformats.org/officeDocument/2006/relationships" r:id="Rcf26eb850fe64bce"/>
</x:worksheet>
</file>

<file path=xl/worksheets/sheet18.xml><?xml version="1.0" encoding="utf-8"?>
<x:worksheet xmlns:x="http://schemas.openxmlformats.org/spreadsheetml/2006/main">
  <x:sheetFormatPr defaultRowHeight="15"/>
  <x:cols>
    <x:col min="1" max="1" width="47.90999984741211" hidden="0" customWidth="1"/>
    <x:col min="2" max="2" width="113.31999969482422" hidden="0" customWidth="1"/>
    <x:col min="3" max="3" width="8.75" hidden="0" customWidth="1"/>
    <x:col min="4" max="4" width="32" hidden="0" customWidth="1"/>
    <x:col min="5" max="5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189" t="str">
        <x:v>PUP MANET Development Handoff - Updated After Stage 1</x:v>
      </x:c>
      <x:c r="B1" s="189" t="str"/>
      <x:c r="C1" s="189" t="str"/>
      <x:c r="D1" s="189" t="str"/>
      <x:c r="E1" s="189" t="str"/>
      <x:c r="F1" s="189" t="str"/>
      <x:c r="G1" s="189" t="str"/>
      <x:c r="H1" s="189" t="str"/>
      <x:c r="I1" s="20"/>
      <x:c r="J1" s="20"/>
      <x:c r="K1" s="20"/>
      <x:c r="L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197" t="str">
        <x:v>Current Completed Stage</x:v>
      </x:c>
      <x:c r="B3" s="20" t="str">
        <x:v>Stage 1 - Simulation foundation</x:v>
      </x:c>
      <x:c r="C3" s="20"/>
      <x:c r="D3" s="20"/>
      <x:c r="E3" s="20"/>
      <x:c r="F3" s="20"/>
      <x:c r="G3" s="20"/>
      <x:c r="H3" s="20"/>
      <x:c r="I3" s="20"/>
      <x:c r="J3" s="20"/>
      <x:c r="K3" s="20"/>
      <x:c r="L3" s="20"/>
    </x:row>
    <x:row r="4">
      <x:c r="A4" s="197" t="str">
        <x:v>Current Date Updated</x:v>
      </x:c>
      <x:c r="B4" s="20" t="n">
        <x:v>46147</x:v>
      </x:c>
      <x:c r="C4" s="20"/>
      <x:c r="D4" s="20"/>
      <x:c r="E4" s="20"/>
      <x:c r="F4" s="20"/>
      <x:c r="G4" s="20"/>
      <x:c r="H4" s="20"/>
      <x:c r="I4" s="20"/>
      <x:c r="J4" s="20"/>
      <x:c r="K4" s="20"/>
      <x:c r="L4" s="20"/>
    </x:row>
    <x:row r="5">
      <x:c r="A5" s="197" t="str">
        <x:v>Latest Development ZIP</x:v>
      </x:c>
      <x:c r="B5" s="20" t="str">
        <x:v>PUP_MANET_Stage1_Dev.zip</x:v>
      </x:c>
      <x:c r="C5" s="20"/>
      <x:c r="D5" s="20"/>
      <x:c r="E5" s="20"/>
      <x:c r="F5" s="20"/>
      <x:c r="G5" s="20"/>
      <x:c r="H5" s="20"/>
      <x:c r="I5" s="20"/>
      <x:c r="J5" s="20"/>
      <x:c r="K5" s="20"/>
      <x:c r="L5" s="20"/>
    </x:row>
    <x:row r="6">
      <x:c r="A6" s="197" t="str">
        <x:v>Latest Workbook</x:v>
      </x:c>
      <x:c r="B6" s="20" t="str">
        <x:v>PUP_MANET_Implementation_Workbook_Stage1_Updated.xlsx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</x:row>
    <x:row r="7">
      <x:c r="A7" s="197" t="str">
        <x:v>Next Step</x:v>
      </x:c>
      <x:c r="B7" s="20" t="str">
        <x:v>Stage 2.1 - ESP32 PlatformIO packet firmware build verification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</x:row>
    <x:row r="8">
      <x:c r="A8" s="197" t="str">
        <x:v>Development Order</x:v>
      </x:c>
      <x:c r="B8" s="20" t="str">
        <x:v>Simulation -&gt; ESP32 PlatformIO -&gt; Raspberry Pi Gateway -&gt; Router Simulation -&gt; Android App -&gt; Formal Tests</x:v>
      </x:c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>
      <x:c r="A9" s="197" t="str">
        <x:v>Test Control Requirement</x:v>
      </x:c>
      <x:c r="B9" s="20" t="str">
        <x:v>DOCX test procedures are the controlling acceptance criteria</x:v>
      </x:c>
      <x:c r="C9" s="20"/>
      <x:c r="D9" s="20"/>
      <x:c r="E9" s="20"/>
      <x:c r="F9" s="20"/>
      <x:c r="G9" s="20"/>
      <x:c r="H9" s="20"/>
      <x:c r="I9" s="20"/>
      <x:c r="J9" s="20"/>
      <x:c r="K9" s="20"/>
      <x:c r="L9" s="20"/>
    </x:row>
    <x:row r="10">
      <x:c r="A10" s="197" t="str">
        <x:v>Primary Message Path</x:v>
      </x:c>
      <x:c r="B10" s="20" t="str">
        <x:v>Android -&gt; Bluetooth -&gt; ESP32 LoRa node -&gt; LoRa MANET -&gt; Gateway -&gt; WiFi Router simulated satellite -&gt; Gateway -&gt; LoRa MANET -&gt; Android</x:v>
      </x:c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</x:row>
    <x:row r="11">
      <x:c r="A11" s="197" t="str">
        <x:v>Failover Trigger</x:v>
      </x:c>
      <x:c r="B11" s="20" t="str">
        <x:v>RSSI &lt; -78 dBm for 10 seconds or ACK/route failure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</x:row>
    <x:row r="12">
      <x:c r="A12" s="197" t="str">
        <x:v>Recovery Trigger</x:v>
      </x:c>
      <x:c r="B12" s="20" t="str">
        <x:v>RSSI &gt;= -78 dBm stable for 10 seconds; switch back target &lt;=5 seconds</x:v>
      </x:c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</x:row>
    <x:row r="13">
      <x:c r="A13" s="197" t="str">
        <x:v>Cross-network Rule</x:v>
      </x:c>
      <x:c r="B13" s="20" t="str">
        <x:v>If destination is not found in local network, gateway forwards to next network</x:v>
      </x:c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</x:row>
    <x:row r="14">
      <x:c r="A14" s="197" t="str">
        <x:v>Important Note</x:v>
      </x:c>
      <x:c r="B14" s="20" t="str">
        <x:v>Stage 1 is simulation only; hardware behavior must still be validated.</x:v>
      </x:c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</x:row>
    <x:row r="16">
      <x:c r="A16" s="189" t="str">
        <x:v>Files in Stage 1 ZIP</x:v>
      </x:c>
      <x:c r="B16" s="189" t="str"/>
      <x:c r="C16" s="189" t="str"/>
      <x:c r="D16" s="189" t="str"/>
      <x:c r="E16" s="189" t="str"/>
      <x:c r="F16" s="189" t="str"/>
      <x:c r="G16" s="189" t="str"/>
      <x:c r="H16" s="189" t="str"/>
      <x:c r="I16" s="20"/>
      <x:c r="J16" s="20"/>
      <x:c r="K16" s="20"/>
      <x:c r="L16" s="20"/>
    </x:row>
    <x:row r="17">
      <x:c r="A17" s="189" t="str">
        <x:v>File/Folder</x:v>
      </x:c>
      <x:c r="B17" s="189" t="str">
        <x:v>Purpose</x:v>
      </x:c>
      <x:c r="C17" s="189" t="str">
        <x:v>Status</x:v>
      </x:c>
      <x:c r="D17" s="189" t="str">
        <x:v>Next Action</x:v>
      </x:c>
      <x:c r="E17" s="20"/>
      <x:c r="F17" s="20"/>
      <x:c r="G17" s="20"/>
      <x:c r="H17" s="20"/>
      <x:c r="I17" s="20"/>
      <x:c r="J17" s="20"/>
      <x:c r="K17" s="20"/>
      <x:c r="L17" s="20"/>
    </x:row>
    <x:row r="18">
      <x:c r="A18" s="20" t="str">
        <x:v>simulation/manet_sim.py</x:v>
      </x:c>
      <x:c r="B18" s="20" t="str">
        <x:v>Six-node MANET routing/failover simulator</x:v>
      </x:c>
      <x:c r="C18" s="20" t="str">
        <x:v>Completed</x:v>
      </x:c>
      <x:c r="D18" s="20" t="str">
        <x:v>Run and review report</x:v>
      </x:c>
      <x:c r="E18" s="20"/>
      <x:c r="F18" s="20"/>
      <x:c r="G18" s="20"/>
      <x:c r="H18" s="20"/>
      <x:c r="I18" s="20"/>
      <x:c r="J18" s="20"/>
      <x:c r="K18" s="20"/>
      <x:c r="L18" s="20"/>
    </x:row>
    <x:row r="19">
      <x:c r="A19" s="20" t="str">
        <x:v>results/stage1_run_log.txt</x:v>
      </x:c>
      <x:c r="B19" s="20" t="str">
        <x:v>Evidence log from simulator run</x:v>
      </x:c>
      <x:c r="C19" s="20" t="str">
        <x:v>Completed</x:v>
      </x:c>
      <x:c r="D19" s="20" t="str">
        <x:v>Use as simulation evidence</x:v>
      </x:c>
      <x:c r="E19" s="20"/>
      <x:c r="F19" s="20"/>
      <x:c r="G19" s="20"/>
      <x:c r="H19" s="20"/>
      <x:c r="I19" s="20"/>
      <x:c r="J19" s="20"/>
      <x:c r="K19" s="20"/>
      <x:c r="L19" s="20"/>
    </x:row>
    <x:row r="20">
      <x:c r="A20" s="20" t="str">
        <x:v>results/simulation_report.json</x:v>
      </x:c>
      <x:c r="B20" s="20" t="str">
        <x:v>Machine-readable simulation output</x:v>
      </x:c>
      <x:c r="C20" s="20" t="str">
        <x:v>Completed</x:v>
      </x:c>
      <x:c r="D20" s="20" t="str">
        <x:v>Use for dashboard/test report later</x:v>
      </x:c>
      <x:c r="E20" s="20"/>
      <x:c r="F20" s="20"/>
      <x:c r="G20" s="20"/>
      <x:c r="H20" s="20"/>
      <x:c r="I20" s="20"/>
      <x:c r="J20" s="20"/>
      <x:c r="K20" s="20"/>
      <x:c r="L20" s="20"/>
    </x:row>
    <x:row r="21">
      <x:c r="A21" s="20" t="str">
        <x:v>esp32_node/</x:v>
      </x:c>
      <x:c r="B21" s="20" t="str">
        <x:v>PlatformIO ESP32 skeleton</x:v>
      </x:c>
      <x:c r="C21" s="20" t="str">
        <x:v>In Progress</x:v>
      </x:c>
      <x:c r="D21" s="20" t="str">
        <x:v>Build and implement real packet protocol</x:v>
      </x:c>
      <x:c r="E21" s="20"/>
      <x:c r="F21" s="20"/>
      <x:c r="G21" s="20"/>
      <x:c r="H21" s="20"/>
      <x:c r="I21" s="20"/>
      <x:c r="J21" s="20"/>
      <x:c r="K21" s="20"/>
      <x:c r="L21" s="20"/>
    </x:row>
    <x:row r="22">
      <x:c r="A22" s="20" t="str">
        <x:v>rpi_gateway/</x:v>
      </x:c>
      <x:c r="B22" s="20" t="str">
        <x:v>Raspberry Pi gateway skeleton</x:v>
      </x:c>
      <x:c r="C22" s="20" t="str">
        <x:v>In Progress</x:v>
      </x:c>
      <x:c r="D22" s="20" t="str">
        <x:v>Add SPI LoRa receive/transmit</x:v>
      </x:c>
      <x:c r="E22" s="20"/>
      <x:c r="F22" s="20"/>
      <x:c r="G22" s="20"/>
      <x:c r="H22" s="20"/>
      <x:c r="I22" s="20"/>
      <x:c r="J22" s="20"/>
      <x:c r="K22" s="20"/>
      <x:c r="L22" s="20"/>
    </x:row>
    <x:row r="23">
      <x:c r="A23" s="20" t="str">
        <x:v>docs/STAGE1_NOTES.md</x:v>
      </x:c>
      <x:c r="B23" s="20" t="str">
        <x:v>Stage notes and next step</x:v>
      </x:c>
      <x:c r="C23" s="20" t="str">
        <x:v>Completed</x:v>
      </x:c>
      <x:c r="D23" s="20" t="str">
        <x:v>Reference for continuation</x:v>
      </x:c>
      <x:c r="E23" s="20"/>
      <x:c r="F23" s="20"/>
      <x:c r="G23" s="20"/>
      <x:c r="H23" s="20"/>
      <x:c r="I23" s="20"/>
      <x:c r="J23" s="20"/>
      <x:c r="K23" s="20"/>
      <x:c r="L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</x:row>
  </x:sheetData>
  <x:pageMargins left="0.7" right="0.7" top="0.75" bottom="0.75" header="0.3" footer="0.3"/>
</x:worksheet>
</file>